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Zion 13\Desktop\"/>
    </mc:Choice>
  </mc:AlternateContent>
  <bookViews>
    <workbookView xWindow="0" yWindow="0" windowWidth="23040" windowHeight="9384" activeTab="1"/>
  </bookViews>
  <sheets>
    <sheet name="Явная схема" sheetId="4" r:id="rId1"/>
    <sheet name="Неявная схема" sheetId="2" r:id="rId2"/>
  </sheet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4" l="1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G15" i="4"/>
  <c r="J12" i="4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G12" i="4"/>
  <c r="H12" i="4" s="1"/>
  <c r="I12" i="4" s="1"/>
  <c r="C4" i="4"/>
  <c r="C3" i="4"/>
  <c r="AJ15" i="2"/>
  <c r="F19" i="2" l="1"/>
  <c r="C3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H16" i="2" l="1"/>
  <c r="AD16" i="2"/>
  <c r="Z16" i="2"/>
  <c r="V16" i="2"/>
  <c r="R16" i="2"/>
  <c r="N16" i="2"/>
  <c r="J16" i="2"/>
  <c r="AG16" i="2"/>
  <c r="AC16" i="2"/>
  <c r="Y16" i="2"/>
  <c r="U16" i="2"/>
  <c r="Q16" i="2"/>
  <c r="M16" i="2"/>
  <c r="I16" i="2"/>
  <c r="AF16" i="2"/>
  <c r="AB16" i="2"/>
  <c r="X16" i="2"/>
  <c r="T16" i="2"/>
  <c r="P16" i="2"/>
  <c r="L16" i="2"/>
  <c r="H16" i="2"/>
  <c r="C17" i="2"/>
  <c r="AI16" i="2"/>
  <c r="AE16" i="2"/>
  <c r="AA16" i="2"/>
  <c r="W16" i="2"/>
  <c r="S16" i="2"/>
  <c r="O16" i="2"/>
  <c r="K16" i="2"/>
  <c r="G16" i="2"/>
  <c r="C4" i="2"/>
  <c r="AG20" i="2" l="1"/>
  <c r="AC20" i="2"/>
  <c r="Y20" i="2"/>
  <c r="U20" i="2"/>
  <c r="Q20" i="2"/>
  <c r="M20" i="2"/>
  <c r="I20" i="2"/>
  <c r="AF20" i="2"/>
  <c r="AB20" i="2"/>
  <c r="X20" i="2"/>
  <c r="T20" i="2"/>
  <c r="P20" i="2"/>
  <c r="L20" i="2"/>
  <c r="H20" i="2"/>
  <c r="AI20" i="2"/>
  <c r="AE20" i="2"/>
  <c r="AA20" i="2"/>
  <c r="W20" i="2"/>
  <c r="S20" i="2"/>
  <c r="O20" i="2"/>
  <c r="K20" i="2"/>
  <c r="G20" i="2"/>
  <c r="AH20" i="2"/>
  <c r="AD20" i="2"/>
  <c r="Z20" i="2"/>
  <c r="V20" i="2"/>
  <c r="R20" i="2"/>
  <c r="N20" i="2"/>
  <c r="J20" i="2"/>
  <c r="F20" i="2"/>
  <c r="C19" i="2"/>
  <c r="C18" i="2"/>
  <c r="G18" i="2" s="1"/>
  <c r="H18" i="2" s="1"/>
  <c r="I18" i="2" s="1"/>
  <c r="J18" i="2" s="1"/>
  <c r="K18" i="2" s="1"/>
  <c r="L18" i="2" s="1"/>
  <c r="M18" i="2" s="1"/>
  <c r="N18" i="2" s="1"/>
  <c r="O18" i="2" s="1"/>
  <c r="P18" i="2" s="1"/>
  <c r="Q18" i="2" s="1"/>
  <c r="R18" i="2" s="1"/>
  <c r="S18" i="2" s="1"/>
  <c r="T18" i="2" s="1"/>
  <c r="U18" i="2" s="1"/>
  <c r="V18" i="2" s="1"/>
  <c r="W18" i="2" s="1"/>
  <c r="X18" i="2" s="1"/>
  <c r="Y18" i="2" s="1"/>
  <c r="Z18" i="2" s="1"/>
  <c r="AA18" i="2" s="1"/>
  <c r="AB18" i="2" s="1"/>
  <c r="AC18" i="2" s="1"/>
  <c r="AD18" i="2" s="1"/>
  <c r="AE18" i="2" s="1"/>
  <c r="AF18" i="2" s="1"/>
  <c r="AG18" i="2" s="1"/>
  <c r="AH18" i="2" s="1"/>
  <c r="AI18" i="2" s="1"/>
  <c r="G19" i="2" l="1"/>
  <c r="H19" i="2" s="1"/>
  <c r="I19" i="2" s="1"/>
  <c r="J19" i="2" s="1"/>
  <c r="K19" i="2" s="1"/>
  <c r="L19" i="2" s="1"/>
  <c r="M19" i="2" s="1"/>
  <c r="N19" i="2" s="1"/>
  <c r="O19" i="2" s="1"/>
  <c r="P19" i="2" s="1"/>
  <c r="Q19" i="2" s="1"/>
  <c r="R19" i="2" s="1"/>
  <c r="S19" i="2" s="1"/>
  <c r="T19" i="2" s="1"/>
  <c r="U19" i="2" s="1"/>
  <c r="V19" i="2" s="1"/>
  <c r="W19" i="2" s="1"/>
  <c r="X19" i="2" s="1"/>
  <c r="Y19" i="2" s="1"/>
  <c r="Z19" i="2" s="1"/>
  <c r="AA19" i="2" s="1"/>
  <c r="AB19" i="2" s="1"/>
  <c r="AC19" i="2" s="1"/>
  <c r="AD19" i="2" s="1"/>
  <c r="AE19" i="2" s="1"/>
  <c r="AF19" i="2" s="1"/>
  <c r="AG19" i="2" s="1"/>
  <c r="AH19" i="2" s="1"/>
  <c r="AI19" i="2" s="1"/>
  <c r="AI15" i="2" s="1"/>
  <c r="AH15" i="2" s="1"/>
  <c r="AG15" i="2" s="1"/>
  <c r="AF15" i="2" s="1"/>
  <c r="AE15" i="2" s="1"/>
  <c r="AD15" i="2" s="1"/>
  <c r="AC15" i="2" s="1"/>
  <c r="AB15" i="2" s="1"/>
  <c r="AA15" i="2" s="1"/>
  <c r="Z15" i="2" s="1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</calcChain>
</file>

<file path=xl/sharedStrings.xml><?xml version="1.0" encoding="utf-8"?>
<sst xmlns="http://schemas.openxmlformats.org/spreadsheetml/2006/main" count="32" uniqueCount="19">
  <si>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</si>
  <si>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</si>
  <si>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</si>
  <si>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</si>
  <si>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</si>
  <si>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</si>
  <si>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</si>
  <si>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</si>
  <si>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</si>
  <si>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</si>
  <si>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</si>
  <si>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q</t>
  </si>
  <si>
    <t>A</t>
  </si>
  <si>
    <t>B</t>
  </si>
  <si>
    <t>C</t>
  </si>
  <si>
    <t>alpha</t>
  </si>
  <si>
    <t>betta</t>
  </si>
  <si>
    <t>F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</si>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</sst>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Border="1"/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Fill="1" applyBorder="1"/>
    <xf numFmtId="0" fontId="0" fillId="0" borderId="2" xfId="0" applyBorder="1"/>
    <xf numFmtId="0" fontId="0" fillId="0" borderId="3" xfId="0" applyFill="1" applyBorder="1"/>
    <xf numFmtId="0" fontId="0" fillId="0" borderId="0" xfId="0" applyFill="1" applyBorder="1" applyAlignment="1">
      <alignment horizontal="center" vertical="center"/>
    </xf>
    <xf numFmtId="164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4" xfId="0" applyFill="1" applyBorder="1"/>
    <xf numFmtId="0" fontId="0" fillId="0" borderId="5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</c:formatCode>
                <c:ptCount val="31"/>
                <c:pt idx="0" formatCode="0.0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0.000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215-4FBC-BDBC-09883E30E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80744"/>
        <c:axId val="223681136"/>
      </c:scatterChart>
      <c:valAx>
        <c:axId val="223680744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3681136"/>
        <c:crosses val="autoZero"/>
        <c:crossBetween val="midCat"/>
      </c:valAx>
      <c:valAx>
        <c:axId val="2236811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3680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</c:formatCode>
                <c:ptCount val="31"/>
                <c:pt idx="0" formatCode="0.0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0.000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215-4FBC-BDBC-09883E30E36C}"/>
            </c:ext>
          </c:extLst>
        </c:ser>
        <c:ser>
          <c:idx val="1"/>
          <c:order val="1"/>
          <c:spPr>
            <a:ln w="3810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</c:formatCode>
                <c:ptCount val="31"/>
                <c:pt idx="0" formatCode="0.0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0.000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79568"/>
        <c:axId val="223678000"/>
      </c:scatterChart>
      <c:valAx>
        <c:axId val="2236795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3678000"/>
        <c:crosses val="autoZero"/>
        <c:crossBetween val="midCat"/>
      </c:valAx>
      <c:valAx>
        <c:axId val="2236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367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54430</xdr:colOff>
      <xdr:row>29</xdr:row>
      <xdr:rowOff>136071</xdr:rowOff>
    </xdr:from>
    <xdr:to>
      <xdr:col>23</xdr:col>
      <xdr:colOff>517072</xdr:colOff>
      <xdr:row>51</xdr:row>
      <xdr:rowOff>68036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517071</xdr:colOff>
      <xdr:row>49</xdr:row>
      <xdr:rowOff>163285</xdr:rowOff>
    </xdr:from>
    <xdr:to>
      <xdr:col>23</xdr:col>
      <xdr:colOff>489857</xdr:colOff>
      <xdr:row>51</xdr:row>
      <xdr:rowOff>54428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/>
            <xdr:cNvSpPr txBox="1"/>
          </xdr:nvSpPr>
          <xdr:spPr>
            <a:xfrm>
              <a:off x="13928271" y="9497785"/>
              <a:ext cx="5823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 xmlns="">
        <xdr:sp macro="" textlink="">
          <xdr:nvSpPr>
            <xdr:cNvPr id="3" name="TextBox 1"/>
            <xdr:cNvSpPr txBox="1"/>
          </xdr:nvSpPr>
          <xdr:spPr>
            <a:xfrm>
              <a:off x="13928271" y="9497785"/>
              <a:ext cx="5823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0.02393</cdr:y>
    </cdr:from>
    <cdr:to>
      <cdr:x>0.13618</cdr:x>
      <cdr:y>0.13916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 xmlns="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54429</xdr:colOff>
      <xdr:row>29</xdr:row>
      <xdr:rowOff>136071</xdr:rowOff>
    </xdr:from>
    <xdr:to>
      <xdr:col>26</xdr:col>
      <xdr:colOff>390524</xdr:colOff>
      <xdr:row>51</xdr:row>
      <xdr:rowOff>68036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421821</xdr:colOff>
      <xdr:row>49</xdr:row>
      <xdr:rowOff>134710</xdr:rowOff>
    </xdr:from>
    <xdr:to>
      <xdr:col>26</xdr:col>
      <xdr:colOff>394607</xdr:colOff>
      <xdr:row>51</xdr:row>
      <xdr:rowOff>25853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/>
            <xdr:cNvSpPr txBox="1"/>
          </xdr:nvSpPr>
          <xdr:spPr>
            <a:xfrm>
              <a:off x="15661821" y="9469210"/>
              <a:ext cx="5823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 xmlns="">
        <xdr:sp macro="" textlink="">
          <xdr:nvSpPr>
            <xdr:cNvPr id="3" name="TextBox 1"/>
            <xdr:cNvSpPr txBox="1"/>
          </xdr:nvSpPr>
          <xdr:spPr>
            <a:xfrm>
              <a:off x="15661821" y="9469210"/>
              <a:ext cx="5823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0.02393</cdr:y>
    </cdr:from>
    <cdr:to>
      <cdr:x>0.13618</cdr:x>
      <cdr:y>0.13916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 xmlns="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20"/>
  <sheetViews>
    <sheetView topLeftCell="D1" zoomScale="85" zoomScaleNormal="85" workbookViewId="0">
      <selection activeCell="H19" sqref="H19"/>
    </sheetView>
  </sheetViews>
  <sheetFormatPr defaultRowHeight="14.4" x14ac:dyDescent="0.3"/>
  <sheetData>
    <row r="2" spans="1:36" x14ac:dyDescent="0.3">
      <c r="B2" s="1" t="s">
        <v>0</v>
      </c>
      <c r="C2" s="1">
        <v>0.1</v>
      </c>
    </row>
    <row r="3" spans="1:36" x14ac:dyDescent="0.3">
      <c r="B3" s="1" t="s">
        <v>1</v>
      </c>
      <c r="C3" s="4">
        <f>C2/30</f>
        <v>3.3333333333333335E-3</v>
      </c>
    </row>
    <row r="4" spans="1:36" x14ac:dyDescent="0.3">
      <c r="B4" s="1" t="s">
        <v>2</v>
      </c>
      <c r="C4" s="4">
        <f>(C8*C7*C3^2)/(2*C9)</f>
        <v>0.4333333333333334</v>
      </c>
    </row>
    <row r="5" spans="1:36" x14ac:dyDescent="0.3">
      <c r="B5" s="1" t="s">
        <v>3</v>
      </c>
      <c r="C5" s="1">
        <v>60</v>
      </c>
      <c r="D5">
        <v>60.233333333333341</v>
      </c>
    </row>
    <row r="6" spans="1:36" x14ac:dyDescent="0.3">
      <c r="A6" s="5"/>
      <c r="B6" s="5"/>
      <c r="C6" s="5"/>
      <c r="D6">
        <v>60</v>
      </c>
    </row>
    <row r="7" spans="1:36" x14ac:dyDescent="0.3">
      <c r="B7" s="1" t="s">
        <v>4</v>
      </c>
      <c r="C7" s="1">
        <v>460</v>
      </c>
    </row>
    <row r="8" spans="1:36" x14ac:dyDescent="0.3">
      <c r="B8" s="1" t="s">
        <v>5</v>
      </c>
      <c r="C8" s="1">
        <v>7800</v>
      </c>
    </row>
    <row r="9" spans="1:36" x14ac:dyDescent="0.3">
      <c r="B9" s="1" t="s">
        <v>6</v>
      </c>
      <c r="C9" s="1">
        <v>46</v>
      </c>
    </row>
    <row r="10" spans="1:36" x14ac:dyDescent="0.3">
      <c r="A10" s="5"/>
      <c r="B10" s="5"/>
      <c r="C10" s="5"/>
      <c r="D10" s="5"/>
    </row>
    <row r="11" spans="1:36" x14ac:dyDescent="0.3">
      <c r="B11" s="5"/>
      <c r="C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3">
      <c r="B12" s="5"/>
      <c r="C12" s="5"/>
      <c r="E12" t="s">
        <v>0</v>
      </c>
      <c r="F12" s="2">
        <v>0</v>
      </c>
      <c r="G12" s="13">
        <f>F12+$C$3</f>
        <v>3.3333333333333335E-3</v>
      </c>
      <c r="H12" s="13">
        <f t="shared" ref="H12:AJ12" si="0">G12+$C$3</f>
        <v>6.6666666666666671E-3</v>
      </c>
      <c r="I12" s="13">
        <f t="shared" si="0"/>
        <v>0.01</v>
      </c>
      <c r="J12" s="13">
        <f t="shared" si="0"/>
        <v>1.3333333333333334E-2</v>
      </c>
      <c r="K12" s="13">
        <f t="shared" si="0"/>
        <v>1.6666666666666666E-2</v>
      </c>
      <c r="L12" s="13">
        <f t="shared" si="0"/>
        <v>0.02</v>
      </c>
      <c r="M12" s="13">
        <f t="shared" si="0"/>
        <v>2.3333333333333334E-2</v>
      </c>
      <c r="N12" s="13">
        <f t="shared" si="0"/>
        <v>2.6666666666666668E-2</v>
      </c>
      <c r="O12" s="13">
        <f t="shared" si="0"/>
        <v>3.0000000000000002E-2</v>
      </c>
      <c r="P12" s="13">
        <f t="shared" si="0"/>
        <v>3.3333333333333333E-2</v>
      </c>
      <c r="Q12" s="13">
        <f t="shared" si="0"/>
        <v>3.6666666666666667E-2</v>
      </c>
      <c r="R12" s="13">
        <f t="shared" si="0"/>
        <v>0.04</v>
      </c>
      <c r="S12" s="13">
        <f t="shared" si="0"/>
        <v>4.3333333333333335E-2</v>
      </c>
      <c r="T12" s="13">
        <f t="shared" si="0"/>
        <v>4.6666666666666669E-2</v>
      </c>
      <c r="U12" s="13">
        <f t="shared" si="0"/>
        <v>0.05</v>
      </c>
      <c r="V12" s="13">
        <f t="shared" si="0"/>
        <v>5.3333333333333337E-2</v>
      </c>
      <c r="W12" s="13">
        <f t="shared" si="0"/>
        <v>5.6666666666666671E-2</v>
      </c>
      <c r="X12" s="13">
        <f t="shared" si="0"/>
        <v>6.0000000000000005E-2</v>
      </c>
      <c r="Y12" s="13">
        <f t="shared" si="0"/>
        <v>6.3333333333333339E-2</v>
      </c>
      <c r="Z12" s="13">
        <f t="shared" si="0"/>
        <v>6.6666666666666666E-2</v>
      </c>
      <c r="AA12" s="13">
        <f t="shared" si="0"/>
        <v>6.9999999999999993E-2</v>
      </c>
      <c r="AB12" s="13">
        <f t="shared" si="0"/>
        <v>7.333333333333332E-2</v>
      </c>
      <c r="AC12" s="13">
        <f t="shared" si="0"/>
        <v>7.6666666666666647E-2</v>
      </c>
      <c r="AD12" s="13">
        <f t="shared" si="0"/>
        <v>7.9999999999999974E-2</v>
      </c>
      <c r="AE12" s="13">
        <f t="shared" si="0"/>
        <v>8.3333333333333301E-2</v>
      </c>
      <c r="AF12" s="13">
        <f t="shared" si="0"/>
        <v>8.6666666666666628E-2</v>
      </c>
      <c r="AG12" s="13">
        <f t="shared" si="0"/>
        <v>8.9999999999999955E-2</v>
      </c>
      <c r="AH12" s="13">
        <f t="shared" si="0"/>
        <v>9.3333333333333282E-2</v>
      </c>
      <c r="AI12" s="13">
        <f t="shared" si="0"/>
        <v>9.6666666666666609E-2</v>
      </c>
      <c r="AJ12" s="2">
        <f t="shared" si="0"/>
        <v>9.9999999999999936E-2</v>
      </c>
    </row>
    <row r="13" spans="1:36" x14ac:dyDescent="0.3">
      <c r="B13" s="8" t="s">
        <v>18</v>
      </c>
      <c r="C13" s="8">
        <v>92000</v>
      </c>
      <c r="E13" t="s">
        <v>7</v>
      </c>
      <c r="F13" s="3">
        <v>300</v>
      </c>
      <c r="G13" s="6">
        <v>280.34602914679897</v>
      </c>
      <c r="H13" s="6">
        <v>260.69205829359794</v>
      </c>
      <c r="I13" s="6">
        <v>241.69187227593491</v>
      </c>
      <c r="J13" s="6">
        <v>222.69168625827183</v>
      </c>
      <c r="K13" s="6">
        <v>204.95390631913148</v>
      </c>
      <c r="L13" s="6">
        <v>187.21612637999107</v>
      </c>
      <c r="M13" s="6">
        <v>171.26453784334268</v>
      </c>
      <c r="N13" s="6">
        <v>155.31294930669429</v>
      </c>
      <c r="O13" s="6">
        <v>141.55671337374599</v>
      </c>
      <c r="P13" s="6">
        <v>127.80047744079765</v>
      </c>
      <c r="Q13" s="6">
        <v>116.51671674932982</v>
      </c>
      <c r="R13" s="6">
        <v>105.23295605786197</v>
      </c>
      <c r="S13" s="6">
        <v>96.561989352755049</v>
      </c>
      <c r="T13" s="6">
        <v>87.891022647648128</v>
      </c>
      <c r="U13" s="6">
        <v>81.842538774051832</v>
      </c>
      <c r="V13" s="6">
        <v>75.794054900455549</v>
      </c>
      <c r="W13" s="6">
        <v>72.261187114604226</v>
      </c>
      <c r="X13" s="6">
        <v>68.728319328752917</v>
      </c>
      <c r="Y13" s="6">
        <v>67.506108522455037</v>
      </c>
      <c r="Z13" s="6">
        <v>66.283897716157142</v>
      </c>
      <c r="AA13" s="6">
        <v>67.088962026000345</v>
      </c>
      <c r="AB13" s="6">
        <v>67.894026335843549</v>
      </c>
      <c r="AC13" s="6">
        <v>70.383127200086093</v>
      </c>
      <c r="AD13" s="6">
        <v>72.872228064328638</v>
      </c>
      <c r="AE13" s="6">
        <v>76.658491877071754</v>
      </c>
      <c r="AF13" s="6">
        <v>80.444755689814855</v>
      </c>
      <c r="AG13" s="6">
        <v>85.111263870845988</v>
      </c>
      <c r="AH13" s="6">
        <v>89.777772051877108</v>
      </c>
      <c r="AI13" s="6">
        <v>94.888886025938547</v>
      </c>
      <c r="AJ13" s="6">
        <v>100</v>
      </c>
    </row>
    <row r="14" spans="1:36" x14ac:dyDescent="0.3">
      <c r="B14" s="9" t="s">
        <v>8</v>
      </c>
      <c r="C14" s="9">
        <v>300</v>
      </c>
    </row>
    <row r="15" spans="1:36" x14ac:dyDescent="0.3">
      <c r="B15" s="14" t="s">
        <v>9</v>
      </c>
      <c r="C15" s="14">
        <v>100</v>
      </c>
      <c r="E15" t="s">
        <v>10</v>
      </c>
      <c r="G15" s="7">
        <f>G13+(($C$9*$C$4)/($C$8*$C$7))*((H13-2*G13+F13)/$C$3^2)</f>
        <v>280.34602914679897</v>
      </c>
      <c r="H15" s="7">
        <f t="shared" ref="H15:AI15" si="1">H13+(($C$9*$C$4)/($C$8*$C$7))*((I13-2*H13+G13)/$C$3^2)</f>
        <v>261.01895071136693</v>
      </c>
      <c r="I15" s="7">
        <f t="shared" si="1"/>
        <v>241.69187227593488</v>
      </c>
      <c r="J15" s="7">
        <f t="shared" si="1"/>
        <v>223.32288929753321</v>
      </c>
      <c r="K15" s="7">
        <f t="shared" si="1"/>
        <v>204.95390631913145</v>
      </c>
      <c r="L15" s="7">
        <f t="shared" si="1"/>
        <v>188.10922208123708</v>
      </c>
      <c r="M15" s="7">
        <f t="shared" si="1"/>
        <v>171.26453784334268</v>
      </c>
      <c r="N15" s="7">
        <f t="shared" si="1"/>
        <v>156.41062560854434</v>
      </c>
      <c r="O15" s="7">
        <f t="shared" si="1"/>
        <v>141.55671337374596</v>
      </c>
      <c r="P15" s="7">
        <f t="shared" si="1"/>
        <v>129.0367150615379</v>
      </c>
      <c r="Q15" s="7">
        <f t="shared" si="1"/>
        <v>116.51671674932982</v>
      </c>
      <c r="R15" s="7">
        <f t="shared" si="1"/>
        <v>106.53935305104244</v>
      </c>
      <c r="S15" s="7">
        <f t="shared" si="1"/>
        <v>96.561989352755049</v>
      </c>
      <c r="T15" s="7">
        <f t="shared" si="1"/>
        <v>89.202264063403447</v>
      </c>
      <c r="U15" s="7">
        <f t="shared" si="1"/>
        <v>81.842538774051832</v>
      </c>
      <c r="V15" s="7">
        <f t="shared" si="1"/>
        <v>77.051862944328036</v>
      </c>
      <c r="W15" s="7">
        <f t="shared" si="1"/>
        <v>72.26118711460424</v>
      </c>
      <c r="X15" s="7">
        <f t="shared" si="1"/>
        <v>69.883647818529624</v>
      </c>
      <c r="Y15" s="7">
        <f t="shared" si="1"/>
        <v>67.506108522455037</v>
      </c>
      <c r="Z15" s="7">
        <f t="shared" si="1"/>
        <v>67.297535274227698</v>
      </c>
      <c r="AA15" s="7">
        <f t="shared" si="1"/>
        <v>67.088962026000345</v>
      </c>
      <c r="AB15" s="7">
        <f t="shared" si="1"/>
        <v>68.736044613043219</v>
      </c>
      <c r="AC15" s="7">
        <f t="shared" si="1"/>
        <v>70.383127200086093</v>
      </c>
      <c r="AD15" s="7">
        <f t="shared" si="1"/>
        <v>73.520809538578931</v>
      </c>
      <c r="AE15" s="7">
        <f t="shared" si="1"/>
        <v>76.658491877071754</v>
      </c>
      <c r="AF15" s="7">
        <f t="shared" si="1"/>
        <v>80.884877873958871</v>
      </c>
      <c r="AG15" s="7">
        <f t="shared" si="1"/>
        <v>85.111263870845988</v>
      </c>
      <c r="AH15" s="7">
        <f t="shared" si="1"/>
        <v>90.000074948392268</v>
      </c>
      <c r="AI15" s="7">
        <f t="shared" si="1"/>
        <v>94.888886025938547</v>
      </c>
      <c r="AJ15" s="7"/>
    </row>
    <row r="16" spans="1:36" x14ac:dyDescent="0.3">
      <c r="A16" s="5"/>
      <c r="B16" s="15"/>
      <c r="C16" s="15"/>
      <c r="D16" s="5"/>
    </row>
    <row r="17" spans="1:35" x14ac:dyDescent="0.3">
      <c r="A17" s="5"/>
      <c r="B17" s="5"/>
      <c r="C17" s="5"/>
      <c r="D17" s="5"/>
    </row>
    <row r="18" spans="1:35" x14ac:dyDescent="0.3">
      <c r="A18" s="5"/>
      <c r="B18" s="5"/>
      <c r="C18" s="5"/>
      <c r="D18" s="5"/>
      <c r="E18" s="11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1:35" x14ac:dyDescent="0.3">
      <c r="A19" s="5"/>
      <c r="B19" s="5"/>
      <c r="C19" s="5"/>
      <c r="D19" s="5"/>
      <c r="E19" s="11"/>
      <c r="I19" s="12"/>
      <c r="J19" s="12"/>
      <c r="K19" s="12"/>
      <c r="L19" s="12"/>
      <c r="M19" s="12"/>
      <c r="N19" s="12"/>
      <c r="O19" s="12"/>
      <c r="P19" s="12"/>
      <c r="Q19" s="12"/>
    </row>
    <row r="20" spans="1:35" x14ac:dyDescent="0.3">
      <c r="A20" s="5"/>
      <c r="B20" s="5"/>
      <c r="C20" s="5"/>
      <c r="D20" s="5"/>
      <c r="E20" s="11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J20"/>
  <sheetViews>
    <sheetView tabSelected="1" topLeftCell="B1" zoomScale="70" zoomScaleNormal="70" workbookViewId="0">
      <selection activeCell="C2" sqref="C2"/>
    </sheetView>
  </sheetViews>
  <sheetFormatPr defaultRowHeight="14.4" x14ac:dyDescent="0.3"/>
  <cols>
    <col min="6" max="6" width="9.109375" customWidth="1"/>
  </cols>
  <sheetData>
    <row r="2" spans="1:36" x14ac:dyDescent="0.3">
      <c r="B2" s="1" t="s">
        <v>0</v>
      </c>
      <c r="C2" s="1">
        <v>0.1</v>
      </c>
    </row>
    <row r="3" spans="1:36" x14ac:dyDescent="0.3">
      <c r="B3" s="1" t="s">
        <v>1</v>
      </c>
      <c r="C3" s="4">
        <f>C2/30</f>
        <v>3.3333333333333335E-3</v>
      </c>
    </row>
    <row r="4" spans="1:36" x14ac:dyDescent="0.3">
      <c r="B4" s="1" t="s">
        <v>2</v>
      </c>
      <c r="C4" s="4">
        <f>(C8*C7*C3^2)/(2*C9)</f>
        <v>0.4333333333333334</v>
      </c>
    </row>
    <row r="5" spans="1:36" x14ac:dyDescent="0.3">
      <c r="B5" s="1" t="s">
        <v>3</v>
      </c>
      <c r="C5" s="1">
        <v>60</v>
      </c>
      <c r="D5">
        <v>60.233333333333341</v>
      </c>
    </row>
    <row r="6" spans="1:36" x14ac:dyDescent="0.3">
      <c r="A6" s="5"/>
      <c r="B6" s="5"/>
      <c r="C6" s="5"/>
      <c r="D6">
        <v>60</v>
      </c>
    </row>
    <row r="7" spans="1:36" x14ac:dyDescent="0.3">
      <c r="B7" s="1" t="s">
        <v>4</v>
      </c>
      <c r="C7" s="1">
        <v>460</v>
      </c>
    </row>
    <row r="8" spans="1:36" x14ac:dyDescent="0.3">
      <c r="B8" s="1" t="s">
        <v>5</v>
      </c>
      <c r="C8" s="1">
        <v>7800</v>
      </c>
    </row>
    <row r="9" spans="1:36" x14ac:dyDescent="0.3">
      <c r="B9" s="1" t="s">
        <v>6</v>
      </c>
      <c r="C9" s="1">
        <v>46</v>
      </c>
    </row>
    <row r="10" spans="1:36" x14ac:dyDescent="0.3">
      <c r="A10" s="5"/>
      <c r="B10" s="5"/>
      <c r="C10" s="5"/>
      <c r="D10" s="5"/>
    </row>
    <row r="11" spans="1:36" x14ac:dyDescent="0.3">
      <c r="B11" s="5"/>
      <c r="C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3">
      <c r="B12" s="5"/>
      <c r="C12" s="5"/>
      <c r="E12" t="s">
        <v>0</v>
      </c>
      <c r="F12" s="2">
        <v>0</v>
      </c>
      <c r="G12" s="13">
        <f>F12+$C$3</f>
        <v>3.3333333333333335E-3</v>
      </c>
      <c r="H12" s="13">
        <f t="shared" ref="H12:AJ12" si="0">G12+$C$3</f>
        <v>6.6666666666666671E-3</v>
      </c>
      <c r="I12" s="13">
        <f t="shared" si="0"/>
        <v>0.01</v>
      </c>
      <c r="J12" s="13">
        <f t="shared" si="0"/>
        <v>1.3333333333333334E-2</v>
      </c>
      <c r="K12" s="13">
        <f t="shared" si="0"/>
        <v>1.6666666666666666E-2</v>
      </c>
      <c r="L12" s="13">
        <f t="shared" si="0"/>
        <v>0.02</v>
      </c>
      <c r="M12" s="13">
        <f t="shared" si="0"/>
        <v>2.3333333333333334E-2</v>
      </c>
      <c r="N12" s="13">
        <f t="shared" si="0"/>
        <v>2.6666666666666668E-2</v>
      </c>
      <c r="O12" s="13">
        <f t="shared" si="0"/>
        <v>3.0000000000000002E-2</v>
      </c>
      <c r="P12" s="13">
        <f t="shared" si="0"/>
        <v>3.3333333333333333E-2</v>
      </c>
      <c r="Q12" s="13">
        <f t="shared" si="0"/>
        <v>3.6666666666666667E-2</v>
      </c>
      <c r="R12" s="13">
        <f t="shared" si="0"/>
        <v>0.04</v>
      </c>
      <c r="S12" s="13">
        <f t="shared" si="0"/>
        <v>4.3333333333333335E-2</v>
      </c>
      <c r="T12" s="13">
        <f t="shared" si="0"/>
        <v>4.6666666666666669E-2</v>
      </c>
      <c r="U12" s="13">
        <f t="shared" si="0"/>
        <v>0.05</v>
      </c>
      <c r="V12" s="13">
        <f t="shared" si="0"/>
        <v>5.3333333333333337E-2</v>
      </c>
      <c r="W12" s="13">
        <f t="shared" si="0"/>
        <v>5.6666666666666671E-2</v>
      </c>
      <c r="X12" s="13">
        <f t="shared" si="0"/>
        <v>6.0000000000000005E-2</v>
      </c>
      <c r="Y12" s="13">
        <f t="shared" si="0"/>
        <v>6.3333333333333339E-2</v>
      </c>
      <c r="Z12" s="13">
        <f t="shared" si="0"/>
        <v>6.6666666666666666E-2</v>
      </c>
      <c r="AA12" s="13">
        <f t="shared" si="0"/>
        <v>6.9999999999999993E-2</v>
      </c>
      <c r="AB12" s="13">
        <f t="shared" si="0"/>
        <v>7.333333333333332E-2</v>
      </c>
      <c r="AC12" s="13">
        <f t="shared" si="0"/>
        <v>7.6666666666666647E-2</v>
      </c>
      <c r="AD12" s="13">
        <f t="shared" si="0"/>
        <v>7.9999999999999974E-2</v>
      </c>
      <c r="AE12" s="13">
        <f t="shared" si="0"/>
        <v>8.3333333333333301E-2</v>
      </c>
      <c r="AF12" s="13">
        <f t="shared" si="0"/>
        <v>8.6666666666666628E-2</v>
      </c>
      <c r="AG12" s="13">
        <f t="shared" si="0"/>
        <v>8.9999999999999955E-2</v>
      </c>
      <c r="AH12" s="13">
        <f t="shared" si="0"/>
        <v>9.3333333333333282E-2</v>
      </c>
      <c r="AI12" s="13">
        <f t="shared" si="0"/>
        <v>9.6666666666666609E-2</v>
      </c>
      <c r="AJ12" s="2">
        <f t="shared" si="0"/>
        <v>9.9999999999999936E-2</v>
      </c>
    </row>
    <row r="13" spans="1:36" x14ac:dyDescent="0.3">
      <c r="B13" s="10"/>
      <c r="C13" s="10"/>
      <c r="E13" t="s">
        <v>7</v>
      </c>
      <c r="F13" s="3">
        <v>300</v>
      </c>
      <c r="G13" s="6">
        <v>280.20114262798575</v>
      </c>
      <c r="H13" s="6">
        <v>260.57053452366904</v>
      </c>
      <c r="I13" s="6">
        <v>241.27335396752636</v>
      </c>
      <c r="J13" s="6">
        <v>222.46874067679317</v>
      </c>
      <c r="K13" s="6">
        <v>204.30702925674697</v>
      </c>
      <c r="L13" s="6">
        <v>186.92727013670742</v>
      </c>
      <c r="M13" s="6">
        <v>170.45510875086381</v>
      </c>
      <c r="N13" s="6">
        <v>155.00107463428773</v>
      </c>
      <c r="O13" s="6">
        <v>140.65931099015722</v>
      </c>
      <c r="P13" s="6">
        <v>127.5067536180474</v>
      </c>
      <c r="Q13" s="6">
        <v>115.60274732960713</v>
      </c>
      <c r="R13" s="6">
        <v>104.98906943559072</v>
      </c>
      <c r="S13" s="6">
        <v>95.690314648076594</v>
      </c>
      <c r="T13" s="6">
        <v>87.714584570723446</v>
      </c>
      <c r="U13" s="6">
        <v>81.054418255410752</v>
      </c>
      <c r="V13" s="6">
        <v>75.68789812172092</v>
      </c>
      <c r="W13" s="6">
        <v>71.579867553261167</v>
      </c>
      <c r="X13" s="6">
        <v>68.68320209085141</v>
      </c>
      <c r="Y13" s="6">
        <v>66.940084503407604</v>
      </c>
      <c r="Z13" s="6">
        <v>66.283244166503039</v>
      </c>
      <c r="AA13" s="6">
        <v>66.637132112902975</v>
      </c>
      <c r="AB13" s="6">
        <v>67.919013891339318</v>
      </c>
      <c r="AC13" s="6">
        <v>70.039972168091296</v>
      </c>
      <c r="AD13" s="6">
        <v>72.905819217013814</v>
      </c>
      <c r="AE13" s="6">
        <v>76.417925689672472</v>
      </c>
      <c r="AF13" s="6">
        <v>80.473976208137344</v>
      </c>
      <c r="AG13" s="6">
        <v>84.968664482862408</v>
      </c>
      <c r="AH13" s="6">
        <v>89.794341128753075</v>
      </c>
      <c r="AI13" s="6">
        <v>94.841626578966242</v>
      </c>
      <c r="AJ13" s="6">
        <v>100</v>
      </c>
    </row>
    <row r="14" spans="1:36" x14ac:dyDescent="0.3">
      <c r="B14" s="9" t="s">
        <v>8</v>
      </c>
      <c r="C14" s="9">
        <v>300</v>
      </c>
    </row>
    <row r="15" spans="1:36" x14ac:dyDescent="0.3">
      <c r="B15" s="8" t="s">
        <v>9</v>
      </c>
      <c r="C15" s="8">
        <v>100</v>
      </c>
      <c r="E15" t="s">
        <v>10</v>
      </c>
      <c r="G15" s="7">
        <f t="shared" ref="G15:AH15" si="1">G18*H15+G19</f>
        <v>280.28451209215399</v>
      </c>
      <c r="H15" s="7">
        <f t="shared" si="1"/>
        <v>260.73576311264441</v>
      </c>
      <c r="I15" s="7">
        <f t="shared" si="1"/>
        <v>241.51747131108542</v>
      </c>
      <c r="J15" s="7">
        <f t="shared" si="1"/>
        <v>222.78741419664442</v>
      </c>
      <c r="K15" s="7">
        <f t="shared" si="1"/>
        <v>204.69470412190589</v>
      </c>
      <c r="L15" s="7">
        <f t="shared" si="1"/>
        <v>187.37734377748521</v>
      </c>
      <c r="M15" s="7">
        <f t="shared" si="1"/>
        <v>170.96013071462008</v>
      </c>
      <c r="N15" s="7">
        <f t="shared" si="1"/>
        <v>155.55296157926747</v>
      </c>
      <c r="O15" s="7">
        <f t="shared" si="1"/>
        <v>141.24956633387433</v>
      </c>
      <c r="P15" s="7">
        <f t="shared" si="1"/>
        <v>128.12668177591533</v>
      </c>
      <c r="Q15" s="7">
        <f t="shared" si="1"/>
        <v>116.24365353369214</v>
      </c>
      <c r="R15" s="7">
        <f t="shared" si="1"/>
        <v>105.64243769963892</v>
      </c>
      <c r="S15" s="7">
        <f t="shared" si="1"/>
        <v>96.347958393682063</v>
      </c>
      <c r="T15" s="7">
        <f t="shared" si="1"/>
        <v>88.368766578936132</v>
      </c>
      <c r="U15" s="7">
        <f t="shared" si="1"/>
        <v>81.697938780615559</v>
      </c>
      <c r="V15" s="7">
        <f t="shared" si="1"/>
        <v>76.314152032704555</v>
      </c>
      <c r="W15" s="7">
        <f t="shared" si="1"/>
        <v>72.182873106760752</v>
      </c>
      <c r="X15" s="7">
        <f t="shared" si="1"/>
        <v>69.257605287816148</v>
      </c>
      <c r="Y15" s="7">
        <f t="shared" si="1"/>
        <v>67.481143862800991</v>
      </c>
      <c r="Z15" s="7">
        <f t="shared" si="1"/>
        <v>66.786801156572579</v>
      </c>
      <c r="AA15" s="7">
        <f t="shared" si="1"/>
        <v>67.099572430483207</v>
      </c>
      <c r="AB15" s="7">
        <f t="shared" si="1"/>
        <v>68.337224339554268</v>
      </c>
      <c r="AC15" s="7">
        <f t="shared" si="1"/>
        <v>70.411297145055215</v>
      </c>
      <c r="AD15" s="7">
        <f t="shared" si="1"/>
        <v>73.228019904484</v>
      </c>
      <c r="AE15" s="7">
        <f t="shared" si="1"/>
        <v>76.689144038853158</v>
      </c>
      <c r="AF15" s="7">
        <f t="shared" si="1"/>
        <v>80.692704871583686</v>
      </c>
      <c r="AG15" s="7">
        <f t="shared" si="1"/>
        <v>85.13372303120687</v>
      </c>
      <c r="AH15" s="7">
        <f t="shared" si="1"/>
        <v>89.904858287518977</v>
      </c>
      <c r="AI15" s="7">
        <f>AI18*AJ15+AI19</f>
        <v>94.897027861362858</v>
      </c>
      <c r="AJ15" s="7">
        <f>C15</f>
        <v>100</v>
      </c>
    </row>
    <row r="16" spans="1:36" x14ac:dyDescent="0.3">
      <c r="E16" t="s">
        <v>11</v>
      </c>
      <c r="F16">
        <v>0</v>
      </c>
      <c r="G16">
        <f>-$C$9*(G13-F13)/$C$3</f>
        <v>273224.23173379671</v>
      </c>
      <c r="H16">
        <f t="shared" ref="H16:AI16" si="2">-$C$9*(H13-G13)/$C$3</f>
        <v>270902.39183957054</v>
      </c>
      <c r="I16">
        <f t="shared" si="2"/>
        <v>266301.09167476895</v>
      </c>
      <c r="J16">
        <f t="shared" si="2"/>
        <v>259503.66341211795</v>
      </c>
      <c r="K16">
        <f t="shared" si="2"/>
        <v>250631.61759663757</v>
      </c>
      <c r="L16">
        <f t="shared" si="2"/>
        <v>239840.67585654577</v>
      </c>
      <c r="M16">
        <f t="shared" si="2"/>
        <v>227315.82712464174</v>
      </c>
      <c r="N16">
        <f t="shared" si="2"/>
        <v>213265.67080874994</v>
      </c>
      <c r="O16">
        <f t="shared" si="2"/>
        <v>197916.338289001</v>
      </c>
      <c r="P16">
        <f t="shared" si="2"/>
        <v>181505.29173511558</v>
      </c>
      <c r="Q16">
        <f t="shared" si="2"/>
        <v>164275.28678047576</v>
      </c>
      <c r="R16">
        <f t="shared" si="2"/>
        <v>146468.75493742639</v>
      </c>
      <c r="S16">
        <f t="shared" si="2"/>
        <v>128322.81606769495</v>
      </c>
      <c r="T16">
        <f t="shared" si="2"/>
        <v>110065.07506747344</v>
      </c>
      <c r="U16">
        <f t="shared" si="2"/>
        <v>91910.295151315164</v>
      </c>
      <c r="V16">
        <f t="shared" si="2"/>
        <v>74057.977844919675</v>
      </c>
      <c r="W16">
        <f t="shared" si="2"/>
        <v>56690.821844744591</v>
      </c>
      <c r="X16">
        <f t="shared" si="2"/>
        <v>39973.983381254649</v>
      </c>
      <c r="Y16">
        <f t="shared" si="2"/>
        <v>24055.022706724514</v>
      </c>
      <c r="Z16">
        <f t="shared" si="2"/>
        <v>9064.3966492830023</v>
      </c>
      <c r="AA16">
        <f t="shared" si="2"/>
        <v>-4883.6536603191234</v>
      </c>
      <c r="AB16">
        <f t="shared" si="2"/>
        <v>-17689.968542421535</v>
      </c>
      <c r="AC16">
        <f t="shared" si="2"/>
        <v>-29269.224219177289</v>
      </c>
      <c r="AD16">
        <f t="shared" si="2"/>
        <v>-39548.689275130746</v>
      </c>
      <c r="AE16">
        <f t="shared" si="2"/>
        <v>-48467.06932268948</v>
      </c>
      <c r="AF16">
        <f t="shared" si="2"/>
        <v>-55973.497154815232</v>
      </c>
      <c r="AG16">
        <f t="shared" si="2"/>
        <v>-62026.698191205876</v>
      </c>
      <c r="AH16">
        <f t="shared" si="2"/>
        <v>-66594.337713291199</v>
      </c>
      <c r="AI16">
        <f t="shared" si="2"/>
        <v>-69652.539212941701</v>
      </c>
    </row>
    <row r="17" spans="2:35" x14ac:dyDescent="0.3">
      <c r="B17" s="1" t="s">
        <v>12</v>
      </c>
      <c r="C17" s="1">
        <f>C9/(C3^2)</f>
        <v>4139999.9999999991</v>
      </c>
    </row>
    <row r="18" spans="2:35" x14ac:dyDescent="0.3">
      <c r="B18" s="1" t="s">
        <v>13</v>
      </c>
      <c r="C18" s="1">
        <f>(2*C9)/(C3^2)+(C8*C7)/C4</f>
        <v>16559999.999999996</v>
      </c>
      <c r="E18" s="11" t="s">
        <v>15</v>
      </c>
      <c r="F18">
        <v>0</v>
      </c>
      <c r="G18">
        <f>$C$17/($C$18-$C$19*F18)</f>
        <v>0.25</v>
      </c>
      <c r="H18" s="12">
        <f t="shared" ref="H18:AI18" si="3">$C$17/($C$18-$C$19*G18)</f>
        <v>0.26666666666666666</v>
      </c>
      <c r="I18" s="12">
        <f t="shared" si="3"/>
        <v>0.26785714285714285</v>
      </c>
      <c r="J18" s="12">
        <f t="shared" si="3"/>
        <v>0.26794258373205743</v>
      </c>
      <c r="K18" s="12">
        <f t="shared" si="3"/>
        <v>0.26794871794871794</v>
      </c>
      <c r="L18" s="12">
        <f t="shared" si="3"/>
        <v>0.26794915836482308</v>
      </c>
      <c r="M18" s="12">
        <f t="shared" si="3"/>
        <v>0.26794918998527245</v>
      </c>
      <c r="N18" s="12">
        <f t="shared" si="3"/>
        <v>0.26794919225551855</v>
      </c>
      <c r="O18" s="12">
        <f t="shared" si="3"/>
        <v>0.26794919241851489</v>
      </c>
      <c r="P18" s="12">
        <f t="shared" si="3"/>
        <v>0.26794919243021753</v>
      </c>
      <c r="Q18" s="12">
        <f t="shared" si="3"/>
        <v>0.26794919243105775</v>
      </c>
      <c r="R18" s="12">
        <f t="shared" si="3"/>
        <v>0.26794919243111803</v>
      </c>
      <c r="S18" s="12">
        <f t="shared" si="3"/>
        <v>0.26794919243112236</v>
      </c>
      <c r="T18" s="12">
        <f t="shared" si="3"/>
        <v>0.2679491924311227</v>
      </c>
      <c r="U18" s="12">
        <f t="shared" si="3"/>
        <v>0.2679491924311227</v>
      </c>
      <c r="V18" s="12">
        <f t="shared" si="3"/>
        <v>0.2679491924311227</v>
      </c>
      <c r="W18" s="12">
        <f t="shared" si="3"/>
        <v>0.2679491924311227</v>
      </c>
      <c r="X18" s="12">
        <f t="shared" si="3"/>
        <v>0.2679491924311227</v>
      </c>
      <c r="Y18" s="12">
        <f t="shared" si="3"/>
        <v>0.2679491924311227</v>
      </c>
      <c r="Z18" s="12">
        <f t="shared" si="3"/>
        <v>0.2679491924311227</v>
      </c>
      <c r="AA18" s="12">
        <f t="shared" si="3"/>
        <v>0.2679491924311227</v>
      </c>
      <c r="AB18" s="12">
        <f t="shared" si="3"/>
        <v>0.2679491924311227</v>
      </c>
      <c r="AC18" s="12">
        <f t="shared" si="3"/>
        <v>0.2679491924311227</v>
      </c>
      <c r="AD18" s="12">
        <f t="shared" si="3"/>
        <v>0.2679491924311227</v>
      </c>
      <c r="AE18" s="12">
        <f t="shared" si="3"/>
        <v>0.2679491924311227</v>
      </c>
      <c r="AF18" s="12">
        <f t="shared" si="3"/>
        <v>0.2679491924311227</v>
      </c>
      <c r="AG18" s="12">
        <f t="shared" si="3"/>
        <v>0.2679491924311227</v>
      </c>
      <c r="AH18" s="12">
        <f t="shared" si="3"/>
        <v>0.2679491924311227</v>
      </c>
      <c r="AI18" s="12">
        <f t="shared" si="3"/>
        <v>0.2679491924311227</v>
      </c>
    </row>
    <row r="19" spans="2:35" x14ac:dyDescent="0.3">
      <c r="B19" s="1" t="s">
        <v>14</v>
      </c>
      <c r="C19" s="1">
        <f>C17</f>
        <v>4139999.9999999991</v>
      </c>
      <c r="E19" s="11" t="s">
        <v>16</v>
      </c>
      <c r="F19">
        <f>F13</f>
        <v>300</v>
      </c>
      <c r="G19">
        <f>(F19*$C$19-G20)/($C$18-$C$19*F18)</f>
        <v>215.1005713139929</v>
      </c>
      <c r="H19">
        <f t="shared" ref="H19:AI19" si="4">(G19*$C$19-H20)/($C$18-$C$19*G18)</f>
        <v>196.33110409635498</v>
      </c>
      <c r="I19" s="12">
        <f t="shared" si="4"/>
        <v>181.84227107984137</v>
      </c>
      <c r="J19" s="12">
        <f t="shared" si="4"/>
        <v>167.94098629795192</v>
      </c>
      <c r="K19" s="12">
        <f t="shared" si="4"/>
        <v>154.48718508409254</v>
      </c>
      <c r="L19" s="12">
        <f t="shared" si="4"/>
        <v>141.56872063856261</v>
      </c>
      <c r="M19" s="12">
        <f t="shared" si="4"/>
        <v>129.27984065964515</v>
      </c>
      <c r="N19" s="12">
        <f t="shared" si="4"/>
        <v>117.70525437366356</v>
      </c>
      <c r="O19" s="12">
        <f t="shared" si="4"/>
        <v>106.91812542475377</v>
      </c>
      <c r="P19" s="12">
        <f t="shared" si="4"/>
        <v>96.979288686424511</v>
      </c>
      <c r="Q19" s="12">
        <f t="shared" si="4"/>
        <v>87.936847665625564</v>
      </c>
      <c r="R19">
        <f t="shared" si="4"/>
        <v>79.826080055664846</v>
      </c>
      <c r="S19">
        <f t="shared" si="4"/>
        <v>72.669618752721775</v>
      </c>
      <c r="T19">
        <f t="shared" si="4"/>
        <v>66.477869859382892</v>
      </c>
      <c r="U19">
        <f t="shared" si="4"/>
        <v>61.249623372386452</v>
      </c>
      <c r="V19">
        <f t="shared" si="4"/>
        <v>56.972809476389799</v>
      </c>
      <c r="W19">
        <f t="shared" si="4"/>
        <v>53.625353700176966</v>
      </c>
      <c r="X19">
        <f t="shared" si="4"/>
        <v>51.176087285450215</v>
      </c>
      <c r="Y19">
        <f t="shared" si="4"/>
        <v>49.585674427839393</v>
      </c>
      <c r="Z19">
        <f t="shared" si="4"/>
        <v>48.807524911350974</v>
      </c>
      <c r="AA19">
        <f t="shared" si="4"/>
        <v>48.788668355715174</v>
      </c>
      <c r="AB19">
        <f t="shared" si="4"/>
        <v>49.470574131508911</v>
      </c>
      <c r="AC19">
        <f t="shared" si="4"/>
        <v>50.789908348318555</v>
      </c>
      <c r="AD19">
        <f t="shared" si="4"/>
        <v>52.679225691039257</v>
      </c>
      <c r="AE19">
        <f t="shared" si="4"/>
        <v>55.067598933429394</v>
      </c>
      <c r="AF19">
        <f t="shared" si="4"/>
        <v>57.881192536716931</v>
      </c>
      <c r="AG19">
        <f t="shared" si="4"/>
        <v>61.043788857431636</v>
      </c>
      <c r="AH19">
        <f t="shared" si="4"/>
        <v>64.477276307953048</v>
      </c>
      <c r="AI19">
        <f t="shared" si="4"/>
        <v>68.102108618250597</v>
      </c>
    </row>
    <row r="20" spans="2:35" x14ac:dyDescent="0.3">
      <c r="E20" s="11" t="s">
        <v>17</v>
      </c>
      <c r="F20">
        <f>-(($C$7*$C$8)/$C$4)*F13</f>
        <v>-2483999999.9999995</v>
      </c>
      <c r="G20">
        <f t="shared" ref="G20:AI20" si="5">-(($C$7*$C$8)/$C$4)*G13</f>
        <v>-2320065460.9597216</v>
      </c>
      <c r="H20">
        <f t="shared" si="5"/>
        <v>-2157524025.8559794</v>
      </c>
      <c r="I20">
        <f t="shared" si="5"/>
        <v>-1997743370.8511181</v>
      </c>
      <c r="J20">
        <f t="shared" si="5"/>
        <v>-1842041172.8038473</v>
      </c>
      <c r="K20">
        <f t="shared" si="5"/>
        <v>-1691662202.2458646</v>
      </c>
      <c r="L20">
        <f t="shared" si="5"/>
        <v>-1547757796.7319372</v>
      </c>
      <c r="M20">
        <f t="shared" si="5"/>
        <v>-1411368300.4571521</v>
      </c>
      <c r="N20">
        <f t="shared" si="5"/>
        <v>-1283408897.9719024</v>
      </c>
      <c r="O20">
        <f t="shared" si="5"/>
        <v>-1164659094.9985018</v>
      </c>
      <c r="P20">
        <f t="shared" si="5"/>
        <v>-1055755919.9574324</v>
      </c>
      <c r="Q20">
        <f t="shared" si="5"/>
        <v>-957190747.88914692</v>
      </c>
      <c r="R20">
        <f t="shared" si="5"/>
        <v>-869309494.92669106</v>
      </c>
      <c r="S20">
        <f t="shared" si="5"/>
        <v>-792315805.28607416</v>
      </c>
      <c r="T20">
        <f t="shared" si="5"/>
        <v>-726276760.24559009</v>
      </c>
      <c r="U20">
        <f t="shared" si="5"/>
        <v>-671130583.15480101</v>
      </c>
      <c r="V20">
        <f t="shared" si="5"/>
        <v>-626695796.44784915</v>
      </c>
      <c r="W20">
        <f t="shared" si="5"/>
        <v>-592681303.34100235</v>
      </c>
      <c r="X20">
        <f t="shared" si="5"/>
        <v>-568696913.31224966</v>
      </c>
      <c r="Y20">
        <f t="shared" si="5"/>
        <v>-554263899.6882149</v>
      </c>
      <c r="Z20">
        <f t="shared" si="5"/>
        <v>-548825261.69864511</v>
      </c>
      <c r="AA20">
        <f t="shared" si="5"/>
        <v>-551755453.89483654</v>
      </c>
      <c r="AB20">
        <f t="shared" si="5"/>
        <v>-562369435.02028954</v>
      </c>
      <c r="AC20">
        <f t="shared" si="5"/>
        <v>-579930969.55179584</v>
      </c>
      <c r="AD20">
        <f t="shared" si="5"/>
        <v>-603660183.11687434</v>
      </c>
      <c r="AE20">
        <f t="shared" si="5"/>
        <v>-632740424.71048796</v>
      </c>
      <c r="AF20">
        <f t="shared" si="5"/>
        <v>-666324523.00337708</v>
      </c>
      <c r="AG20">
        <f t="shared" si="5"/>
        <v>-703540541.91810071</v>
      </c>
      <c r="AH20">
        <f t="shared" si="5"/>
        <v>-743497144.54607534</v>
      </c>
      <c r="AI20">
        <f t="shared" si="5"/>
        <v>-785288668.07384038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Артемий</dc:creator>
  <cp:lastModifiedBy>Артемий</cp:lastModifiedBy>
  <dcterms:created xsi:type="dcterms:W3CDTF">2021-09-14T21:31:27Z</dcterms:created>
  <dcterms:modified xsi:type="dcterms:W3CDTF">2021-11-14T12:08:04Z</dcterms:modified>
</cp:coreProperties>
</file>