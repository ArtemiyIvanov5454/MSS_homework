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Zion 13\Desktop\"/>
    </mc:Choice>
  </mc:AlternateContent>
  <bookViews>
    <workbookView xWindow="0" yWindow="0" windowWidth="28800" windowHeight="11268"/>
  </bookViews>
  <sheets>
    <sheet name="ГУ1" sheetId="2" r:id="rId1"/>
    <sheet name="ГУ2" sheetId="1" r:id="rId2"/>
    <sheet name="ГУ3" sheetId="3" r:id="rId3"/>
  </sheet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3" l="1"/>
  <c r="C3" i="3"/>
  <c r="F13" i="3" s="1"/>
  <c r="T15" i="2"/>
  <c r="L1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AE15" i="2" s="1"/>
  <c r="C3" i="2"/>
  <c r="G12" i="3" l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C4" i="3"/>
  <c r="P15" i="2"/>
  <c r="Q15" i="2"/>
  <c r="AG15" i="2"/>
  <c r="J15" i="2"/>
  <c r="Z15" i="2"/>
  <c r="H15" i="2"/>
  <c r="X15" i="2"/>
  <c r="AF15" i="2"/>
  <c r="I15" i="2"/>
  <c r="Y15" i="2"/>
  <c r="R15" i="2"/>
  <c r="AH15" i="2"/>
  <c r="K15" i="2"/>
  <c r="S15" i="2"/>
  <c r="AA15" i="2"/>
  <c r="AI15" i="2"/>
  <c r="AB15" i="2"/>
  <c r="M15" i="2"/>
  <c r="U15" i="2"/>
  <c r="AC15" i="2"/>
  <c r="N15" i="2"/>
  <c r="V15" i="2"/>
  <c r="AD15" i="2"/>
  <c r="G15" i="2"/>
  <c r="O15" i="2"/>
  <c r="W15" i="2"/>
  <c r="F13" i="1"/>
  <c r="G16" i="1" s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/>
  <c r="AE15" i="3" l="1"/>
  <c r="W15" i="3"/>
  <c r="O15" i="3"/>
  <c r="G15" i="3"/>
  <c r="AD15" i="3"/>
  <c r="V15" i="3"/>
  <c r="N15" i="3"/>
  <c r="AC15" i="3"/>
  <c r="M15" i="3"/>
  <c r="T15" i="3"/>
  <c r="AF15" i="3"/>
  <c r="P15" i="3"/>
  <c r="U15" i="3"/>
  <c r="AB15" i="3"/>
  <c r="L15" i="3"/>
  <c r="X15" i="3"/>
  <c r="AI15" i="3"/>
  <c r="AA15" i="3"/>
  <c r="S15" i="3"/>
  <c r="K15" i="3"/>
  <c r="AH15" i="3"/>
  <c r="Z15" i="3"/>
  <c r="R15" i="3"/>
  <c r="J15" i="3"/>
  <c r="AG15" i="3"/>
  <c r="Y15" i="3"/>
  <c r="Q15" i="3"/>
  <c r="I15" i="3"/>
  <c r="H15" i="3"/>
  <c r="AI15" i="1"/>
  <c r="AA15" i="1"/>
  <c r="AB15" i="1"/>
  <c r="AC15" i="1"/>
  <c r="AD15" i="1"/>
  <c r="AE15" i="1"/>
  <c r="AF15" i="1"/>
  <c r="AG15" i="1"/>
  <c r="AH15" i="1"/>
  <c r="AA12" i="1"/>
  <c r="AB12" i="1"/>
  <c r="AC12" i="1" s="1"/>
  <c r="AD12" i="1" s="1"/>
  <c r="AE12" i="1" s="1"/>
  <c r="AF12" i="1" s="1"/>
  <c r="AG12" i="1" s="1"/>
  <c r="AH12" i="1" s="1"/>
  <c r="AI12" i="1" s="1"/>
  <c r="AJ12" i="1" s="1"/>
  <c r="Z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C4" i="1" l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G12" i="1"/>
  <c r="C3" i="1"/>
  <c r="G15" i="1" l="1"/>
</calcChain>
</file>

<file path=xl/sharedStrings.xml><?xml version="1.0" encoding="utf-8"?>
<sst xmlns="http://schemas.openxmlformats.org/spreadsheetml/2006/main" count="42" uniqueCount="16">
  <si>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</si>
  <si>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</si>
  <si>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</si>
  <si>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</si>
  <si>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</si>
  <si>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</si>
  <si>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</si>
  <si>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</si>
  <si>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</si>
  <si>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</si>
  <si>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</si>
  <si>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 xml:space="preserve"> </t>
  </si>
  <si>
    <t>q</t>
  </si>
  <si>
    <t>q_start</t>
  </si>
  <si>
    <t>k1</t>
  </si>
  <si>
    <t>Te-1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</si>
</sst>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2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ГУ1!$F$12:$AJ$12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ГУ1!$F$13:$AJ$13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215-4FBC-BDBC-09883E30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51680"/>
        <c:axId val="215250112"/>
      </c:scatterChart>
      <c:valAx>
        <c:axId val="215251680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5250112"/>
        <c:crosses val="autoZero"/>
        <c:crossBetween val="midCat"/>
      </c:valAx>
      <c:valAx>
        <c:axId val="215250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525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ГУ2!$F$12:$AJ$12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ГУ2!$F$13:$AJ$13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EF-49E8-A8CC-1C38E9966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51288"/>
        <c:axId val="216751224"/>
      </c:scatterChart>
      <c:valAx>
        <c:axId val="21525128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6751224"/>
        <c:crosses val="autoZero"/>
        <c:crossBetween val="midCat"/>
      </c:valAx>
      <c:valAx>
        <c:axId val="21675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5251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ГУ3!$F$12:$AJ$12</c:f>
              <c:numCache>
                <c:formatCode>0.0000</c:formatCode>
                <c:ptCount val="3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ГУ3!$F$13:$AJ$13</c:f>
              <c:numCache>
                <c:formatCode>0.00</c:formatCode>
                <c:ptCount val="31"/>
                <c:pt idx="0" formatCode="General">
                  <c:v>-3.3208257714641571</c:v>
                </c:pt>
                <c:pt idx="1">
                  <c:v>-2.6436893697246688</c:v>
                </c:pt>
                <c:pt idx="2">
                  <c:v>-1.9588875347069652</c:v>
                </c:pt>
                <c:pt idx="3">
                  <c:v>-1.2668660146816531</c:v>
                </c:pt>
                <c:pt idx="4">
                  <c:v>-0.56631392678467529</c:v>
                </c:pt>
                <c:pt idx="5">
                  <c:v>0.14109217933025026</c:v>
                </c:pt>
                <c:pt idx="6">
                  <c:v>0.85772846368609179</c:v>
                </c:pt>
                <c:pt idx="7">
                  <c:v>1.5807656756762705</c:v>
                </c:pt>
                <c:pt idx="8">
                  <c:v>2.3135393062235052</c:v>
                </c:pt>
                <c:pt idx="9">
                  <c:v>3.0521956015091205</c:v>
                </c:pt>
                <c:pt idx="10">
                  <c:v>3.800878128562454</c:v>
                </c:pt>
                <c:pt idx="11">
                  <c:v>4.554881141567888</c:v>
                </c:pt>
                <c:pt idx="12">
                  <c:v>5.3189665762531462</c:v>
                </c:pt>
                <c:pt idx="13">
                  <c:v>6.087785772285546</c:v>
                </c:pt>
                <c:pt idx="14">
                  <c:v>6.8664995040299805</c:v>
                </c:pt>
                <c:pt idx="15">
                  <c:v>7.6493524768447294</c:v>
                </c:pt>
                <c:pt idx="16">
                  <c:v>8.4416649624679643</c:v>
                </c:pt>
                <c:pt idx="17">
                  <c:v>9.2375279542138671</c:v>
                </c:pt>
                <c:pt idx="18">
                  <c:v>10.042173005901212</c:v>
                </c:pt>
                <c:pt idx="19">
                  <c:v>10.849795678062218</c:v>
                </c:pt>
                <c:pt idx="20">
                  <c:v>11.66529308203086</c:v>
                </c:pt>
                <c:pt idx="21">
                  <c:v>12.483217477659338</c:v>
                </c:pt>
                <c:pt idx="22">
                  <c:v>13.307899574545297</c:v>
                </c:pt>
                <c:pt idx="23">
                  <c:v>14.134483108867403</c:v>
                </c:pt>
                <c:pt idx="24">
                  <c:v>14.966524865253135</c:v>
                </c:pt>
                <c:pt idx="25">
                  <c:v>15.799967068717129</c:v>
                </c:pt>
                <c:pt idx="26">
                  <c:v>16.637419072285418</c:v>
                </c:pt>
                <c:pt idx="27">
                  <c:v>17.475791693717312</c:v>
                </c:pt>
                <c:pt idx="28">
                  <c:v>18.316615418263453</c:v>
                </c:pt>
                <c:pt idx="29">
                  <c:v>19.157895383112162</c:v>
                </c:pt>
                <c:pt idx="30">
                  <c:v>20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6F1-4E11-98DF-4C54E0ABE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54752"/>
        <c:axId val="216757496"/>
      </c:scatterChart>
      <c:valAx>
        <c:axId val="216754752"/>
        <c:scaling>
          <c:orientation val="minMax"/>
          <c:max val="0.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6757496"/>
        <c:crosses val="autoZero"/>
        <c:crossBetween val="midCat"/>
      </c:valAx>
      <c:valAx>
        <c:axId val="216757496"/>
        <c:scaling>
          <c:orientation val="minMax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6754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258535</xdr:colOff>
      <xdr:row>39</xdr:row>
      <xdr:rowOff>136071</xdr:rowOff>
    </xdr:from>
    <xdr:to>
      <xdr:col>18</xdr:col>
      <xdr:colOff>231321</xdr:colOff>
      <xdr:row>41</xdr:row>
      <xdr:rowOff>27214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/>
            <xdr:cNvSpPr txBox="1"/>
          </xdr:nvSpPr>
          <xdr:spPr>
            <a:xfrm>
              <a:off x="8821510" y="7565571"/>
              <a:ext cx="4299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3" name="TextBox 1"/>
            <xdr:cNvSpPr txBox="1"/>
          </xdr:nvSpPr>
          <xdr:spPr>
            <a:xfrm>
              <a:off x="8821510" y="7565571"/>
              <a:ext cx="4299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258535</xdr:colOff>
      <xdr:row>39</xdr:row>
      <xdr:rowOff>136071</xdr:rowOff>
    </xdr:from>
    <xdr:to>
      <xdr:col>18</xdr:col>
      <xdr:colOff>231321</xdr:colOff>
      <xdr:row>41</xdr:row>
      <xdr:rowOff>27214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/>
            <xdr:cNvSpPr txBox="1"/>
          </xdr:nvSpPr>
          <xdr:spPr>
            <a:xfrm>
              <a:off x="8899071" y="7565571"/>
              <a:ext cx="435429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6" name="TextBox 1"/>
            <xdr:cNvSpPr txBox="1"/>
          </xdr:nvSpPr>
          <xdr:spPr>
            <a:xfrm>
              <a:off x="8899071" y="7565571"/>
              <a:ext cx="435429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292153</xdr:colOff>
      <xdr:row>37</xdr:row>
      <xdr:rowOff>113659</xdr:rowOff>
    </xdr:from>
    <xdr:to>
      <xdr:col>18</xdr:col>
      <xdr:colOff>264939</xdr:colOff>
      <xdr:row>39</xdr:row>
      <xdr:rowOff>4802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/>
            <xdr:cNvSpPr txBox="1"/>
          </xdr:nvSpPr>
          <xdr:spPr>
            <a:xfrm>
              <a:off x="10579153" y="7162159"/>
              <a:ext cx="577904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3" name="TextBox 1"/>
            <xdr:cNvSpPr txBox="1"/>
          </xdr:nvSpPr>
          <xdr:spPr>
            <a:xfrm>
              <a:off x="10579153" y="7162159"/>
              <a:ext cx="577904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J19"/>
  <sheetViews>
    <sheetView tabSelected="1" zoomScale="70" zoomScaleNormal="70" workbookViewId="0">
      <selection activeCell="H8" sqref="H8"/>
    </sheetView>
  </sheetViews>
  <sheetFormatPr defaultRowHeight="14.4" x14ac:dyDescent="0.3"/>
  <sheetData>
    <row r="2" spans="1:36" x14ac:dyDescent="0.3">
      <c r="B2" s="1" t="s">
        <v>0</v>
      </c>
      <c r="C2" s="1">
        <v>0.1</v>
      </c>
    </row>
    <row r="3" spans="1:36" x14ac:dyDescent="0.3">
      <c r="B3" s="1" t="s">
        <v>1</v>
      </c>
      <c r="C3" s="4">
        <f>C2/30</f>
        <v>3.3333333333333335E-3</v>
      </c>
    </row>
    <row r="4" spans="1:36" x14ac:dyDescent="0.3">
      <c r="B4" s="1" t="s">
        <v>2</v>
      </c>
      <c r="C4" s="4">
        <f>(C8*C7*C3^2)/(2*C9)</f>
        <v>0.4333333333333334</v>
      </c>
    </row>
    <row r="5" spans="1:36" x14ac:dyDescent="0.3">
      <c r="B5" s="1" t="s">
        <v>3</v>
      </c>
      <c r="C5" s="1">
        <v>60</v>
      </c>
      <c r="D5">
        <v>60.233333333333341</v>
      </c>
    </row>
    <row r="6" spans="1:36" x14ac:dyDescent="0.3">
      <c r="A6" s="5"/>
      <c r="B6" s="5"/>
      <c r="C6" s="5"/>
    </row>
    <row r="7" spans="1:36" x14ac:dyDescent="0.3">
      <c r="B7" s="1" t="s">
        <v>4</v>
      </c>
      <c r="C7" s="1">
        <v>460</v>
      </c>
    </row>
    <row r="8" spans="1:36" x14ac:dyDescent="0.3">
      <c r="B8" s="1" t="s">
        <v>5</v>
      </c>
      <c r="C8" s="1">
        <v>7800</v>
      </c>
    </row>
    <row r="9" spans="1:36" x14ac:dyDescent="0.3">
      <c r="B9" s="1" t="s">
        <v>6</v>
      </c>
      <c r="C9" s="1">
        <v>46</v>
      </c>
    </row>
    <row r="10" spans="1:36" x14ac:dyDescent="0.3">
      <c r="A10" s="5"/>
      <c r="B10" s="5"/>
      <c r="C10" s="5"/>
      <c r="D10" s="5"/>
    </row>
    <row r="11" spans="1:36" x14ac:dyDescent="0.3">
      <c r="B11" s="1" t="s">
        <v>8</v>
      </c>
      <c r="C11" s="1">
        <v>300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3">
      <c r="B12" s="1" t="s">
        <v>9</v>
      </c>
      <c r="C12" s="1">
        <v>100</v>
      </c>
      <c r="E12" t="s">
        <v>0</v>
      </c>
      <c r="F12" s="2">
        <v>0</v>
      </c>
      <c r="G12" s="2">
        <f>F12+$C$3</f>
        <v>3.3333333333333335E-3</v>
      </c>
      <c r="H12" s="2">
        <f t="shared" ref="H12:AJ12" si="0">G12+$C$3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3">
      <c r="B13" s="10" t="s">
        <v>13</v>
      </c>
      <c r="C13" s="10">
        <v>9200</v>
      </c>
      <c r="E13" t="s">
        <v>7</v>
      </c>
      <c r="F13" s="3">
        <v>300</v>
      </c>
      <c r="G13" s="6">
        <v>280.34602914679897</v>
      </c>
      <c r="H13" s="6">
        <v>260.69205829359794</v>
      </c>
      <c r="I13" s="6">
        <v>241.69187227593491</v>
      </c>
      <c r="J13" s="6">
        <v>222.69168625827183</v>
      </c>
      <c r="K13" s="6">
        <v>204.95390631913148</v>
      </c>
      <c r="L13" s="6">
        <v>187.21612637999107</v>
      </c>
      <c r="M13" s="6">
        <v>171.26453784334268</v>
      </c>
      <c r="N13" s="6">
        <v>155.31294930669429</v>
      </c>
      <c r="O13" s="6">
        <v>141.55671337374599</v>
      </c>
      <c r="P13" s="6">
        <v>127.80047744079765</v>
      </c>
      <c r="Q13" s="6">
        <v>116.51671674932982</v>
      </c>
      <c r="R13" s="6">
        <v>105.23295605786197</v>
      </c>
      <c r="S13" s="6">
        <v>96.561989352755049</v>
      </c>
      <c r="T13" s="6">
        <v>87.891022647648128</v>
      </c>
      <c r="U13" s="6">
        <v>81.842538774051832</v>
      </c>
      <c r="V13" s="6">
        <v>75.794054900455549</v>
      </c>
      <c r="W13" s="6">
        <v>72.261187114604226</v>
      </c>
      <c r="X13" s="6">
        <v>68.728319328752917</v>
      </c>
      <c r="Y13" s="6">
        <v>67.506108522455037</v>
      </c>
      <c r="Z13" s="6">
        <v>66.283897716157142</v>
      </c>
      <c r="AA13" s="6">
        <v>67.088962026000345</v>
      </c>
      <c r="AB13" s="6">
        <v>67.894026335843549</v>
      </c>
      <c r="AC13" s="6">
        <v>70.383127200086093</v>
      </c>
      <c r="AD13" s="6">
        <v>72.872228064328638</v>
      </c>
      <c r="AE13" s="6">
        <v>76.658491877071754</v>
      </c>
      <c r="AF13" s="6">
        <v>80.444755689814855</v>
      </c>
      <c r="AG13" s="6">
        <v>85.111263870845988</v>
      </c>
      <c r="AH13" s="6">
        <v>89.777772051877108</v>
      </c>
      <c r="AI13" s="6">
        <v>94.888886025938547</v>
      </c>
      <c r="AJ13" s="6">
        <v>100</v>
      </c>
    </row>
    <row r="15" spans="1:36" x14ac:dyDescent="0.3">
      <c r="E15" t="s">
        <v>10</v>
      </c>
      <c r="G15" s="7">
        <f>G13+(($C$9*$C$4)/($C$8*$C$7))*((H13-2*G13+F13)/($C$3^2))</f>
        <v>280.34602914679897</v>
      </c>
      <c r="H15" s="7">
        <f t="shared" ref="H15:AI15" si="1">H13+(($C$9*$C$4)/($C$8*$C$7))*((I13-2*H13+G13)/($C$3^2))</f>
        <v>261.01895071136693</v>
      </c>
      <c r="I15" s="7">
        <f t="shared" si="1"/>
        <v>241.69187227593488</v>
      </c>
      <c r="J15" s="7">
        <f t="shared" si="1"/>
        <v>223.32288929753321</v>
      </c>
      <c r="K15" s="7">
        <f t="shared" si="1"/>
        <v>204.95390631913145</v>
      </c>
      <c r="L15" s="7">
        <f t="shared" si="1"/>
        <v>188.10922208123708</v>
      </c>
      <c r="M15" s="7">
        <f t="shared" si="1"/>
        <v>171.26453784334268</v>
      </c>
      <c r="N15" s="7">
        <f t="shared" si="1"/>
        <v>156.41062560854434</v>
      </c>
      <c r="O15" s="7">
        <f t="shared" si="1"/>
        <v>141.55671337374596</v>
      </c>
      <c r="P15" s="7">
        <f t="shared" si="1"/>
        <v>129.0367150615379</v>
      </c>
      <c r="Q15" s="7">
        <f t="shared" si="1"/>
        <v>116.51671674932982</v>
      </c>
      <c r="R15" s="7">
        <f t="shared" si="1"/>
        <v>106.53935305104244</v>
      </c>
      <c r="S15" s="7">
        <f t="shared" si="1"/>
        <v>96.561989352755049</v>
      </c>
      <c r="T15" s="7">
        <f t="shared" si="1"/>
        <v>89.202264063403447</v>
      </c>
      <c r="U15" s="7">
        <f t="shared" si="1"/>
        <v>81.842538774051832</v>
      </c>
      <c r="V15" s="7">
        <f t="shared" si="1"/>
        <v>77.051862944328036</v>
      </c>
      <c r="W15" s="7">
        <f t="shared" si="1"/>
        <v>72.26118711460424</v>
      </c>
      <c r="X15" s="7">
        <f t="shared" si="1"/>
        <v>69.883647818529624</v>
      </c>
      <c r="Y15" s="7">
        <f t="shared" si="1"/>
        <v>67.506108522455037</v>
      </c>
      <c r="Z15" s="7">
        <f t="shared" si="1"/>
        <v>67.297535274227698</v>
      </c>
      <c r="AA15" s="7">
        <f t="shared" si="1"/>
        <v>67.088962026000345</v>
      </c>
      <c r="AB15" s="7">
        <f t="shared" si="1"/>
        <v>68.736044613043219</v>
      </c>
      <c r="AC15" s="7">
        <f t="shared" si="1"/>
        <v>70.383127200086093</v>
      </c>
      <c r="AD15" s="7">
        <f t="shared" si="1"/>
        <v>73.520809538578931</v>
      </c>
      <c r="AE15" s="7">
        <f t="shared" si="1"/>
        <v>76.658491877071754</v>
      </c>
      <c r="AF15" s="7">
        <f t="shared" si="1"/>
        <v>80.884877873958871</v>
      </c>
      <c r="AG15" s="7">
        <f t="shared" si="1"/>
        <v>85.111263870845988</v>
      </c>
      <c r="AH15" s="7">
        <f t="shared" si="1"/>
        <v>90.000074948392268</v>
      </c>
      <c r="AI15" s="7">
        <f t="shared" si="1"/>
        <v>94.888886025938547</v>
      </c>
    </row>
    <row r="19" spans="21:21" x14ac:dyDescent="0.3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K19"/>
  <sheetViews>
    <sheetView zoomScale="70" zoomScaleNormal="70" workbookViewId="0">
      <selection activeCell="B12" sqref="B12"/>
    </sheetView>
  </sheetViews>
  <sheetFormatPr defaultRowHeight="14.4" x14ac:dyDescent="0.3"/>
  <cols>
    <col min="3" max="3" width="9.5546875" bestFit="1" customWidth="1"/>
    <col min="6" max="6" width="6.88671875" bestFit="1" customWidth="1"/>
    <col min="7" max="7" width="6.88671875" customWidth="1"/>
    <col min="8" max="36" width="6.88671875" bestFit="1" customWidth="1"/>
  </cols>
  <sheetData>
    <row r="2" spans="1:37" x14ac:dyDescent="0.3">
      <c r="B2" s="1" t="s">
        <v>0</v>
      </c>
      <c r="C2" s="1">
        <v>0.1</v>
      </c>
    </row>
    <row r="3" spans="1:37" x14ac:dyDescent="0.3">
      <c r="B3" s="1" t="s">
        <v>1</v>
      </c>
      <c r="C3" s="4">
        <f>C2/30</f>
        <v>3.3333333333333335E-3</v>
      </c>
    </row>
    <row r="4" spans="1:37" x14ac:dyDescent="0.3">
      <c r="B4" s="1" t="s">
        <v>2</v>
      </c>
      <c r="C4" s="4">
        <f>(C8*C7*C3^2)/(2*C9)</f>
        <v>0.4333333333333334</v>
      </c>
    </row>
    <row r="5" spans="1:37" x14ac:dyDescent="0.3">
      <c r="B5" s="1" t="s">
        <v>3</v>
      </c>
      <c r="C5" s="1">
        <v>5000</v>
      </c>
      <c r="D5">
        <v>5000.2333333333345</v>
      </c>
    </row>
    <row r="6" spans="1:37" x14ac:dyDescent="0.3">
      <c r="A6" s="5"/>
      <c r="B6" s="5"/>
      <c r="C6" s="5"/>
    </row>
    <row r="7" spans="1:37" x14ac:dyDescent="0.3">
      <c r="B7" s="1" t="s">
        <v>4</v>
      </c>
      <c r="C7" s="1">
        <v>460</v>
      </c>
    </row>
    <row r="8" spans="1:37" x14ac:dyDescent="0.3">
      <c r="B8" s="1" t="s">
        <v>5</v>
      </c>
      <c r="C8" s="1">
        <v>7800</v>
      </c>
    </row>
    <row r="9" spans="1:37" x14ac:dyDescent="0.3">
      <c r="B9" s="1" t="s">
        <v>6</v>
      </c>
      <c r="C9" s="1">
        <v>46</v>
      </c>
    </row>
    <row r="10" spans="1:37" x14ac:dyDescent="0.3">
      <c r="A10" s="5"/>
      <c r="B10" s="5"/>
      <c r="C10" s="5"/>
      <c r="D10" s="5"/>
    </row>
    <row r="11" spans="1:37" x14ac:dyDescent="0.3">
      <c r="B11" s="1" t="s">
        <v>13</v>
      </c>
      <c r="C11" s="1">
        <v>92000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7" x14ac:dyDescent="0.3">
      <c r="B12" s="1" t="s">
        <v>9</v>
      </c>
      <c r="C12" s="1">
        <v>100</v>
      </c>
      <c r="E12" t="s">
        <v>0</v>
      </c>
      <c r="F12" s="2">
        <v>0</v>
      </c>
      <c r="G12" s="2">
        <f>F12+$C$3</f>
        <v>3.3333333333333335E-3</v>
      </c>
      <c r="H12" s="2">
        <f t="shared" ref="H12:Z12" si="0">G12+$C$3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ref="AA12" si="1">Z12+$C$3</f>
        <v>6.9999999999999993E-2</v>
      </c>
      <c r="AB12" s="2">
        <f t="shared" ref="AB12" si="2">AA12+$C$3</f>
        <v>7.333333333333332E-2</v>
      </c>
      <c r="AC12" s="2">
        <f t="shared" ref="AC12" si="3">AB12+$C$3</f>
        <v>7.6666666666666647E-2</v>
      </c>
      <c r="AD12" s="2">
        <f t="shared" ref="AD12" si="4">AC12+$C$3</f>
        <v>7.9999999999999974E-2</v>
      </c>
      <c r="AE12" s="2">
        <f t="shared" ref="AE12" si="5">AD12+$C$3</f>
        <v>8.3333333333333301E-2</v>
      </c>
      <c r="AF12" s="2">
        <f t="shared" ref="AF12" si="6">AE12+$C$3</f>
        <v>8.6666666666666628E-2</v>
      </c>
      <c r="AG12" s="2">
        <f t="shared" ref="AG12" si="7">AF12+$C$3</f>
        <v>8.9999999999999955E-2</v>
      </c>
      <c r="AH12" s="2">
        <f t="shared" ref="AH12" si="8">AG12+$C$3</f>
        <v>9.3333333333333282E-2</v>
      </c>
      <c r="AI12" s="2">
        <f t="shared" ref="AI12" si="9">AH12+$C$3</f>
        <v>9.6666666666666609E-2</v>
      </c>
      <c r="AJ12" s="2">
        <f t="shared" ref="AJ12" si="10">AI12+$C$3</f>
        <v>9.9999999999999936E-2</v>
      </c>
      <c r="AK12" s="2"/>
    </row>
    <row r="13" spans="1:37" x14ac:dyDescent="0.3">
      <c r="E13" t="s">
        <v>7</v>
      </c>
      <c r="F13" s="3">
        <f>(F16/C9)*C3+G13</f>
        <v>299.99997763108735</v>
      </c>
      <c r="G13" s="6">
        <v>293.33331096442066</v>
      </c>
      <c r="H13" s="6">
        <v>286.6666443611611</v>
      </c>
      <c r="I13" s="6">
        <v>279.99997782112894</v>
      </c>
      <c r="J13" s="6">
        <v>273.33331134396514</v>
      </c>
      <c r="K13" s="6">
        <v>266.66664492913264</v>
      </c>
      <c r="L13" s="6">
        <v>259.99997857591751</v>
      </c>
      <c r="M13" s="6">
        <v>253.3333122834313</v>
      </c>
      <c r="N13" s="6">
        <v>246.66664605061328</v>
      </c>
      <c r="O13" s="6">
        <v>239.99997987623377</v>
      </c>
      <c r="P13" s="6">
        <v>233.33331375889719</v>
      </c>
      <c r="Q13" s="6">
        <v>226.66664769704656</v>
      </c>
      <c r="R13" s="6">
        <v>219.9999816889673</v>
      </c>
      <c r="S13" s="6">
        <v>213.33331573279273</v>
      </c>
      <c r="T13" s="6">
        <v>206.66664982650872</v>
      </c>
      <c r="U13" s="6">
        <v>199.99998396796005</v>
      </c>
      <c r="V13" s="6">
        <v>193.33331815485587</v>
      </c>
      <c r="W13" s="6">
        <v>186.6666523847768</v>
      </c>
      <c r="X13" s="6">
        <v>179.99998665518126</v>
      </c>
      <c r="Y13" s="6">
        <v>173.33332096341309</v>
      </c>
      <c r="Z13" s="6">
        <v>166.66665530670878</v>
      </c>
      <c r="AA13" s="6">
        <v>159.9999896822055</v>
      </c>
      <c r="AB13" s="6">
        <v>153.33332408694912</v>
      </c>
      <c r="AC13" s="6">
        <v>146.66665851790265</v>
      </c>
      <c r="AD13" s="6">
        <v>139.99999297195473</v>
      </c>
      <c r="AE13" s="6">
        <v>133.33332744592857</v>
      </c>
      <c r="AF13" s="6">
        <v>126.66666193659087</v>
      </c>
      <c r="AG13" s="6">
        <v>119.99999644066111</v>
      </c>
      <c r="AH13" s="6">
        <v>113.3333309548207</v>
      </c>
      <c r="AI13" s="6">
        <v>106.66666547572241</v>
      </c>
      <c r="AJ13" s="6">
        <v>100</v>
      </c>
    </row>
    <row r="15" spans="1:37" x14ac:dyDescent="0.3">
      <c r="E15" t="s">
        <v>10</v>
      </c>
      <c r="G15" s="7">
        <f>G13+(($C$9*$C$4)/($C$8*$C$7))*((H13-2*G13+F13)/($C$3^2))</f>
        <v>293.33331099612423</v>
      </c>
      <c r="H15" s="7">
        <f t="shared" ref="H15:Z15" si="11">H13+(($C$9*$C$4)/($C$8*$C$7))*((I13-2*H13+G13)/($C$3^2))</f>
        <v>286.6666443927748</v>
      </c>
      <c r="I15" s="7">
        <f t="shared" si="11"/>
        <v>279.99997785256312</v>
      </c>
      <c r="J15" s="7">
        <f t="shared" si="11"/>
        <v>273.33331137513079</v>
      </c>
      <c r="K15" s="7">
        <f t="shared" si="11"/>
        <v>266.66664495994132</v>
      </c>
      <c r="L15" s="7">
        <f t="shared" si="11"/>
        <v>259.99997860628196</v>
      </c>
      <c r="M15" s="7">
        <f t="shared" si="11"/>
        <v>253.3333123132654</v>
      </c>
      <c r="N15" s="7">
        <f t="shared" si="11"/>
        <v>246.66664607983253</v>
      </c>
      <c r="O15" s="7">
        <f t="shared" si="11"/>
        <v>239.99997990475524</v>
      </c>
      <c r="P15" s="7">
        <f t="shared" si="11"/>
        <v>233.33331378664016</v>
      </c>
      <c r="Q15" s="7">
        <f t="shared" si="11"/>
        <v>226.66664772393224</v>
      </c>
      <c r="R15" s="7">
        <f t="shared" si="11"/>
        <v>219.99998171491964</v>
      </c>
      <c r="S15" s="7">
        <f t="shared" si="11"/>
        <v>213.33331575773801</v>
      </c>
      <c r="T15" s="7">
        <f t="shared" si="11"/>
        <v>206.66664985037639</v>
      </c>
      <c r="U15" s="7">
        <f t="shared" si="11"/>
        <v>199.9999839906823</v>
      </c>
      <c r="V15" s="7">
        <f t="shared" si="11"/>
        <v>193.33331817636844</v>
      </c>
      <c r="W15" s="7">
        <f t="shared" si="11"/>
        <v>186.66665240501857</v>
      </c>
      <c r="X15" s="7">
        <f t="shared" si="11"/>
        <v>179.99998667409494</v>
      </c>
      <c r="Y15" s="7">
        <f t="shared" si="11"/>
        <v>173.33332098094502</v>
      </c>
      <c r="Z15" s="7">
        <f t="shared" si="11"/>
        <v>166.66665532280928</v>
      </c>
      <c r="AA15" s="7">
        <f t="shared" ref="AA15" si="12">AA13+(($C$9*$C$4)/($C$8*$C$7))*((AB13-2*AA13+Z13)/($C$3^2))</f>
        <v>159.99998969682895</v>
      </c>
      <c r="AB15" s="7">
        <f t="shared" ref="AB15" si="13">AB13+(($C$9*$C$4)/($C$8*$C$7))*((AC13-2*AB13+AA13)/($C$3^2))</f>
        <v>153.33332410005409</v>
      </c>
      <c r="AC15" s="7">
        <f t="shared" ref="AC15" si="14">AC13+(($C$9*$C$4)/($C$8*$C$7))*((AD13-2*AC13+AB13)/($C$3^2))</f>
        <v>146.66665852945192</v>
      </c>
      <c r="AD15" s="7">
        <f t="shared" ref="AD15" si="15">AD13+(($C$9*$C$4)/($C$8*$C$7))*((AE13-2*AD13+AC13)/($C$3^2))</f>
        <v>139.99999298191563</v>
      </c>
      <c r="AE15" s="7">
        <f t="shared" ref="AE15" si="16">AE13+(($C$9*$C$4)/($C$8*$C$7))*((AF13-2*AE13+AD13)/($C$3^2))</f>
        <v>133.33332745427279</v>
      </c>
      <c r="AF15" s="7">
        <f t="shared" ref="AF15" si="17">AF13+(($C$9*$C$4)/($C$8*$C$7))*((AG13-2*AF13+AE13)/($C$3^2))</f>
        <v>126.66666194329484</v>
      </c>
      <c r="AG15" s="7">
        <f t="shared" ref="AG15" si="18">AG13+(($C$9*$C$4)/($C$8*$C$7))*((AH13-2*AG13+AF13)/($C$3^2))</f>
        <v>119.99999644570579</v>
      </c>
      <c r="AH15" s="7">
        <f t="shared" ref="AH15:AI15" si="19">AH13+(($C$9*$C$4)/($C$8*$C$7))*((AI13-2*AH13+AG13)/($C$3^2))</f>
        <v>113.33333095819177</v>
      </c>
      <c r="AI15" s="7">
        <f t="shared" si="19"/>
        <v>106.66666547741035</v>
      </c>
    </row>
    <row r="16" spans="1:37" x14ac:dyDescent="0.3">
      <c r="E16" t="s">
        <v>12</v>
      </c>
      <c r="F16">
        <f>C11</f>
        <v>92000</v>
      </c>
      <c r="G16">
        <f>-$C$9*((G13-F13)/$C$3)</f>
        <v>92000.000000000247</v>
      </c>
      <c r="H16">
        <f t="shared" ref="H16:AI16" si="20">-$C$9*((H13-G13)/$C$3)</f>
        <v>91999.999124981885</v>
      </c>
      <c r="I16">
        <f t="shared" si="20"/>
        <v>91999.998252443896</v>
      </c>
      <c r="J16">
        <f t="shared" si="20"/>
        <v>91999.997384860442</v>
      </c>
      <c r="K16">
        <f t="shared" si="20"/>
        <v>91999.996524688366</v>
      </c>
      <c r="L16">
        <f t="shared" si="20"/>
        <v>91999.995674368853</v>
      </c>
      <c r="M16">
        <f t="shared" si="20"/>
        <v>91999.994836309721</v>
      </c>
      <c r="N16">
        <f t="shared" si="20"/>
        <v>91999.994012888623</v>
      </c>
      <c r="O16">
        <f t="shared" si="20"/>
        <v>91999.993206437299</v>
      </c>
      <c r="P16">
        <f t="shared" si="20"/>
        <v>91999.992419244736</v>
      </c>
      <c r="Q16">
        <f t="shared" si="20"/>
        <v>91999.991653538746</v>
      </c>
      <c r="R16">
        <f t="shared" si="20"/>
        <v>91999.990911493791</v>
      </c>
      <c r="S16">
        <f t="shared" si="20"/>
        <v>91999.990195209044</v>
      </c>
      <c r="T16">
        <f t="shared" si="20"/>
        <v>91999.989506719328</v>
      </c>
      <c r="U16">
        <f t="shared" si="20"/>
        <v>91999.988847971617</v>
      </c>
      <c r="V16">
        <f t="shared" si="20"/>
        <v>91999.988220837593</v>
      </c>
      <c r="W16">
        <f t="shared" si="20"/>
        <v>91999.987627091265</v>
      </c>
      <c r="X16">
        <f t="shared" si="20"/>
        <v>91999.987068418384</v>
      </c>
      <c r="Y16">
        <f t="shared" si="20"/>
        <v>91999.986546400789</v>
      </c>
      <c r="Z16">
        <f t="shared" si="20"/>
        <v>91999.986062519471</v>
      </c>
      <c r="AA16">
        <f t="shared" si="20"/>
        <v>91999.985618145278</v>
      </c>
      <c r="AB16">
        <f t="shared" si="20"/>
        <v>91999.985214537985</v>
      </c>
      <c r="AC16">
        <f t="shared" si="20"/>
        <v>91999.984852841313</v>
      </c>
      <c r="AD16">
        <f t="shared" si="20"/>
        <v>91999.984534081304</v>
      </c>
      <c r="AE16">
        <f t="shared" si="20"/>
        <v>91999.984259160876</v>
      </c>
      <c r="AF16">
        <f t="shared" si="20"/>
        <v>91999.984028860315</v>
      </c>
      <c r="AG16">
        <f t="shared" si="20"/>
        <v>91999.98384383072</v>
      </c>
      <c r="AH16">
        <f t="shared" si="20"/>
        <v>91999.983704597675</v>
      </c>
      <c r="AI16">
        <f t="shared" si="20"/>
        <v>91999.983611556323</v>
      </c>
    </row>
    <row r="19" spans="21:21" x14ac:dyDescent="0.3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K19"/>
  <sheetViews>
    <sheetView topLeftCell="B1" zoomScale="85" zoomScaleNormal="85" workbookViewId="0">
      <selection activeCell="B15" sqref="B15"/>
    </sheetView>
  </sheetViews>
  <sheetFormatPr defaultRowHeight="14.4" x14ac:dyDescent="0.3"/>
  <sheetData>
    <row r="2" spans="1:37" x14ac:dyDescent="0.3">
      <c r="B2" s="1" t="s">
        <v>0</v>
      </c>
      <c r="C2" s="1">
        <v>0.3</v>
      </c>
    </row>
    <row r="3" spans="1:37" x14ac:dyDescent="0.3">
      <c r="B3" s="1" t="s">
        <v>1</v>
      </c>
      <c r="C3" s="4">
        <f>C2/30</f>
        <v>0.01</v>
      </c>
    </row>
    <row r="4" spans="1:37" x14ac:dyDescent="0.3">
      <c r="B4" s="1" t="s">
        <v>2</v>
      </c>
      <c r="C4" s="4">
        <f>(C8*C7*C3^2)/(2*C9)</f>
        <v>0.43483502538071073</v>
      </c>
    </row>
    <row r="5" spans="1:37" x14ac:dyDescent="0.3">
      <c r="B5" s="1" t="s">
        <v>3</v>
      </c>
      <c r="C5" s="1">
        <v>300</v>
      </c>
      <c r="D5">
        <v>300.03616751269038</v>
      </c>
    </row>
    <row r="6" spans="1:37" x14ac:dyDescent="0.3">
      <c r="A6" s="5"/>
      <c r="B6" s="5"/>
      <c r="C6" s="5"/>
    </row>
    <row r="7" spans="1:37" x14ac:dyDescent="0.3">
      <c r="B7" s="1" t="s">
        <v>4</v>
      </c>
      <c r="C7" s="1">
        <v>385</v>
      </c>
    </row>
    <row r="8" spans="1:37" x14ac:dyDescent="0.3">
      <c r="B8" s="1" t="s">
        <v>5</v>
      </c>
      <c r="C8" s="1">
        <v>8900</v>
      </c>
    </row>
    <row r="9" spans="1:37" x14ac:dyDescent="0.3">
      <c r="B9" s="1" t="s">
        <v>6</v>
      </c>
      <c r="C9" s="1">
        <v>394</v>
      </c>
    </row>
    <row r="10" spans="1:37" x14ac:dyDescent="0.3">
      <c r="A10" s="5"/>
      <c r="B10" s="10" t="s">
        <v>14</v>
      </c>
      <c r="C10" s="10">
        <v>1000</v>
      </c>
      <c r="D10" s="5"/>
    </row>
    <row r="11" spans="1:37" x14ac:dyDescent="0.3">
      <c r="B11" s="10" t="s">
        <v>15</v>
      </c>
      <c r="C11" s="10">
        <v>-30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7" x14ac:dyDescent="0.3">
      <c r="B12" s="5"/>
      <c r="C12" s="5"/>
      <c r="E12" t="s">
        <v>0</v>
      </c>
      <c r="F12" s="2">
        <v>0</v>
      </c>
      <c r="G12" s="2">
        <f>F12+$C$3</f>
        <v>0.01</v>
      </c>
      <c r="H12" s="2">
        <f t="shared" ref="H12:AJ12" si="0">G12+$C$3</f>
        <v>0.02</v>
      </c>
      <c r="I12" s="2">
        <f t="shared" si="0"/>
        <v>0.03</v>
      </c>
      <c r="J12" s="2">
        <f t="shared" si="0"/>
        <v>0.04</v>
      </c>
      <c r="K12" s="2">
        <f t="shared" si="0"/>
        <v>0.05</v>
      </c>
      <c r="L12" s="2">
        <f t="shared" si="0"/>
        <v>6.0000000000000005E-2</v>
      </c>
      <c r="M12" s="2">
        <f t="shared" si="0"/>
        <v>7.0000000000000007E-2</v>
      </c>
      <c r="N12" s="2">
        <f t="shared" si="0"/>
        <v>0.08</v>
      </c>
      <c r="O12" s="2">
        <f t="shared" si="0"/>
        <v>0.09</v>
      </c>
      <c r="P12" s="2">
        <f t="shared" si="0"/>
        <v>9.9999999999999992E-2</v>
      </c>
      <c r="Q12" s="2">
        <f t="shared" si="0"/>
        <v>0.10999999999999999</v>
      </c>
      <c r="R12" s="2">
        <f t="shared" si="0"/>
        <v>0.11999999999999998</v>
      </c>
      <c r="S12" s="2">
        <f t="shared" si="0"/>
        <v>0.12999999999999998</v>
      </c>
      <c r="T12" s="2">
        <f t="shared" si="0"/>
        <v>0.13999999999999999</v>
      </c>
      <c r="U12" s="2">
        <f t="shared" si="0"/>
        <v>0.15</v>
      </c>
      <c r="V12" s="2">
        <f t="shared" si="0"/>
        <v>0.16</v>
      </c>
      <c r="W12" s="2">
        <f t="shared" si="0"/>
        <v>0.17</v>
      </c>
      <c r="X12" s="2">
        <f t="shared" si="0"/>
        <v>0.18000000000000002</v>
      </c>
      <c r="Y12" s="2">
        <f t="shared" si="0"/>
        <v>0.19000000000000003</v>
      </c>
      <c r="Z12" s="2">
        <f t="shared" si="0"/>
        <v>0.20000000000000004</v>
      </c>
      <c r="AA12" s="2">
        <f t="shared" si="0"/>
        <v>0.21000000000000005</v>
      </c>
      <c r="AB12" s="2">
        <f t="shared" si="0"/>
        <v>0.22000000000000006</v>
      </c>
      <c r="AC12" s="2">
        <f t="shared" si="0"/>
        <v>0.23000000000000007</v>
      </c>
      <c r="AD12" s="2">
        <f t="shared" si="0"/>
        <v>0.24000000000000007</v>
      </c>
      <c r="AE12" s="2">
        <f t="shared" si="0"/>
        <v>0.25000000000000006</v>
      </c>
      <c r="AF12" s="2">
        <f t="shared" si="0"/>
        <v>0.26000000000000006</v>
      </c>
      <c r="AG12" s="2">
        <f t="shared" si="0"/>
        <v>0.27000000000000007</v>
      </c>
      <c r="AH12" s="2">
        <f t="shared" si="0"/>
        <v>0.28000000000000008</v>
      </c>
      <c r="AI12" s="2">
        <f t="shared" si="0"/>
        <v>0.29000000000000009</v>
      </c>
      <c r="AJ12" s="8">
        <f t="shared" si="0"/>
        <v>0.3000000000000001</v>
      </c>
      <c r="AK12" s="9"/>
    </row>
    <row r="13" spans="1:37" x14ac:dyDescent="0.3">
      <c r="E13" t="s">
        <v>7</v>
      </c>
      <c r="F13" s="3">
        <f>1/(C9+C10*C3)*(C9*G13+C10*C3*C11)</f>
        <v>-3.3208257714641571</v>
      </c>
      <c r="G13" s="6">
        <v>-2.6436893697246688</v>
      </c>
      <c r="H13" s="6">
        <v>-1.9588875347069652</v>
      </c>
      <c r="I13" s="6">
        <v>-1.2668660146816531</v>
      </c>
      <c r="J13" s="6">
        <v>-0.56631392678467529</v>
      </c>
      <c r="K13" s="6">
        <v>0.14109217933025026</v>
      </c>
      <c r="L13" s="6">
        <v>0.85772846368609179</v>
      </c>
      <c r="M13" s="6">
        <v>1.5807656756762705</v>
      </c>
      <c r="N13" s="6">
        <v>2.3135393062235052</v>
      </c>
      <c r="O13" s="6">
        <v>3.0521956015091205</v>
      </c>
      <c r="P13" s="6">
        <v>3.800878128562454</v>
      </c>
      <c r="Q13" s="6">
        <v>4.554881141567888</v>
      </c>
      <c r="R13" s="6">
        <v>5.3189665762531462</v>
      </c>
      <c r="S13" s="6">
        <v>6.087785772285546</v>
      </c>
      <c r="T13" s="6">
        <v>6.8664995040299805</v>
      </c>
      <c r="U13" s="6">
        <v>7.6493524768447294</v>
      </c>
      <c r="V13" s="6">
        <v>8.4416649624679643</v>
      </c>
      <c r="W13" s="6">
        <v>9.2375279542138671</v>
      </c>
      <c r="X13" s="6">
        <v>10.042173005901212</v>
      </c>
      <c r="Y13" s="6">
        <v>10.849795678062218</v>
      </c>
      <c r="Z13" s="6">
        <v>11.66529308203086</v>
      </c>
      <c r="AA13" s="6">
        <v>12.483217477659338</v>
      </c>
      <c r="AB13" s="6">
        <v>13.307899574545297</v>
      </c>
      <c r="AC13" s="6">
        <v>14.134483108867403</v>
      </c>
      <c r="AD13" s="6">
        <v>14.966524865253135</v>
      </c>
      <c r="AE13" s="6">
        <v>15.799967068717129</v>
      </c>
      <c r="AF13" s="6">
        <v>16.637419072285418</v>
      </c>
      <c r="AG13" s="6">
        <v>17.475791693717312</v>
      </c>
      <c r="AH13" s="6">
        <v>18.316615418263453</v>
      </c>
      <c r="AI13" s="6">
        <v>19.157895383112162</v>
      </c>
      <c r="AJ13" s="6">
        <f>C14</f>
        <v>20</v>
      </c>
    </row>
    <row r="14" spans="1:37" x14ac:dyDescent="0.3">
      <c r="B14" s="1" t="s">
        <v>8</v>
      </c>
      <c r="C14" s="1">
        <v>20</v>
      </c>
    </row>
    <row r="15" spans="1:37" x14ac:dyDescent="0.3">
      <c r="E15" t="s">
        <v>10</v>
      </c>
      <c r="G15" s="7">
        <f>G13+(($C$9*$C$4)/($C$8*$C$7))*((H13-2*G13+F13)/($C$3^2))</f>
        <v>-2.6398566530855612</v>
      </c>
      <c r="H15" s="7">
        <f t="shared" ref="H15:AI15" si="1">H13+(($C$9*$C$4)/($C$8*$C$7))*((I13-2*H13+G13)/($C$3^2))</f>
        <v>-1.9552776922031609</v>
      </c>
      <c r="I15" s="7">
        <f t="shared" si="1"/>
        <v>-1.2626007307458202</v>
      </c>
      <c r="J15" s="7">
        <f t="shared" si="1"/>
        <v>-0.56288691767570143</v>
      </c>
      <c r="K15" s="7">
        <f t="shared" si="1"/>
        <v>0.14570726845070825</v>
      </c>
      <c r="L15" s="7">
        <f t="shared" si="1"/>
        <v>0.86092892750326033</v>
      </c>
      <c r="M15" s="7">
        <f t="shared" si="1"/>
        <v>1.5856338849547984</v>
      </c>
      <c r="N15" s="7">
        <f t="shared" si="1"/>
        <v>2.3164806385926955</v>
      </c>
      <c r="O15" s="7">
        <f t="shared" si="1"/>
        <v>3.0572087173929798</v>
      </c>
      <c r="P15" s="7">
        <f t="shared" si="1"/>
        <v>3.8035383715385045</v>
      </c>
      <c r="Q15" s="7">
        <f t="shared" si="1"/>
        <v>4.5599223524078001</v>
      </c>
      <c r="R15" s="7">
        <f t="shared" si="1"/>
        <v>5.321333456926717</v>
      </c>
      <c r="S15" s="7">
        <f t="shared" si="1"/>
        <v>6.0927330401415638</v>
      </c>
      <c r="T15" s="7">
        <f t="shared" si="1"/>
        <v>6.8685691245651377</v>
      </c>
      <c r="U15" s="7">
        <f t="shared" si="1"/>
        <v>7.6540822332489729</v>
      </c>
      <c r="V15" s="7">
        <f t="shared" si="1"/>
        <v>8.4434402155292982</v>
      </c>
      <c r="W15" s="7">
        <f t="shared" si="1"/>
        <v>9.2419189841845881</v>
      </c>
      <c r="X15" s="7">
        <f t="shared" si="1"/>
        <v>10.043661816138043</v>
      </c>
      <c r="Y15" s="7">
        <f t="shared" si="1"/>
        <v>10.853733043966036</v>
      </c>
      <c r="Z15" s="7">
        <f t="shared" si="1"/>
        <v>11.666506577860778</v>
      </c>
      <c r="AA15" s="7">
        <f t="shared" si="1"/>
        <v>12.48659632828808</v>
      </c>
      <c r="AB15" s="7">
        <f t="shared" si="1"/>
        <v>13.308850293263371</v>
      </c>
      <c r="AC15" s="7">
        <f t="shared" si="1"/>
        <v>14.137212219899215</v>
      </c>
      <c r="AD15" s="7">
        <f t="shared" si="1"/>
        <v>14.967225088792265</v>
      </c>
      <c r="AE15" s="7">
        <f t="shared" si="1"/>
        <v>15.801971968769276</v>
      </c>
      <c r="AF15" s="7">
        <f t="shared" si="1"/>
        <v>16.637879381217221</v>
      </c>
      <c r="AG15" s="7">
        <f t="shared" si="1"/>
        <v>17.477017245274435</v>
      </c>
      <c r="AH15" s="7">
        <f t="shared" si="1"/>
        <v>18.316843538414737</v>
      </c>
      <c r="AI15" s="7">
        <f t="shared" si="1"/>
        <v>19.158307709131726</v>
      </c>
    </row>
    <row r="19" spans="21:21" x14ac:dyDescent="0.3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ГУ1</vt:lpstr>
      <vt:lpstr>ГУ2</vt:lpstr>
      <vt:lpstr>ГУ3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Артемий</dc:creator>
  <cp:lastModifiedBy>Артемий</cp:lastModifiedBy>
  <dcterms:created xsi:type="dcterms:W3CDTF">2021-09-14T21:31:27Z</dcterms:created>
  <dcterms:modified xsi:type="dcterms:W3CDTF">2021-11-14T12:09:01Z</dcterms:modified>
</cp:coreProperties>
</file>