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ЭтаКнига"/>
  <bookViews>
    <workbookView xWindow="0" yWindow="0" windowWidth="17256" windowHeight="5928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1" l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G15" i="1" l="1"/>
  <c r="C5" i="1"/>
  <c r="AJ13" i="1"/>
  <c r="F13" i="1"/>
  <c r="H12" i="1"/>
  <c r="I12" i="1"/>
  <c r="J12" i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<sst xmlns="http://schemas.openxmlformats.org/spreadsheetml/2006/main" count="12" uniqueCount="11">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</sst>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D0D-4274-9125-24E22B72D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423144"/>
        <c:axId val="123425104"/>
      </c:scatterChart>
      <c:valAx>
        <c:axId val="12342314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3425104"/>
        <c:crosses val="autoZero"/>
        <c:crossBetween val="midCat"/>
      </c:valAx>
      <c:valAx>
        <c:axId val="1234251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3423144"/>
        <c:crosses val="autoZero"/>
        <c:crossBetween val="midCat"/>
      </c:valAx>
      <c:spPr>
        <a:solidFill>
          <a:sysClr val="window" lastClr="FFFFFF"/>
        </a:solidFill>
        <a:ln>
          <a:solidFill>
            <a:schemeClr val="bg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461066</xdr:colOff>
      <xdr:row>15</xdr:row>
      <xdr:rowOff>153779</xdr:rowOff>
    </xdr:from>
    <xdr:to>
      <xdr:col>19</xdr:col>
      <xdr:colOff>0</xdr:colOff>
      <xdr:row>39</xdr:row>
      <xdr:rowOff>82825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53559</xdr:colOff>
      <xdr:row>16</xdr:row>
      <xdr:rowOff>46659</xdr:rowOff>
    </xdr:from>
    <xdr:ext cx="471005" cy="339864"/>
    <xdr:sp macro="" textlink="">
      <xdr:nvSpPr>
        <xdr:cNvPr id="3" name="TextBox 2"/>
        <xdr:cNvSpPr txBox="1"/>
      </xdr:nvSpPr>
      <xdr:spPr>
        <a:xfrm>
          <a:off x="5050733" y="3138833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T,[C]</a:t>
          </a:r>
          <a:endParaRPr lang="ru-RU" sz="1800" b="1"/>
        </a:p>
      </xdr:txBody>
    </xdr:sp>
    <xdr:clientData/>
  </xdr:oneCellAnchor>
  <xdr:oneCellAnchor>
    <xdr:from>
      <xdr:col>17</xdr:col>
      <xdr:colOff>288234</xdr:colOff>
      <xdr:row>37</xdr:row>
      <xdr:rowOff>110436</xdr:rowOff>
    </xdr:from>
    <xdr:ext cx="705679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9150625" y="7261088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200" b="1" i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9150625" y="7261088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1" i="0">
                  <a:latin typeface="Cambria Math" panose="02040503050406030204" pitchFamily="18" charset="0"/>
                </a:rPr>
                <a:t>𝑳,[𝑪]</a:t>
              </a:r>
              <a:endParaRPr lang="ru-RU" sz="1200" b="1" i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29"/>
  <sheetViews>
    <sheetView tabSelected="1" zoomScale="69" zoomScaleNormal="69" workbookViewId="0">
      <selection activeCell="J5" sqref="J5"/>
    </sheetView>
  </sheetViews>
  <sheetFormatPr defaultRowHeight="14.4" x14ac:dyDescent="0.3"/>
  <cols>
    <col min="3" max="3" width="9.5546875" bestFit="1" customWidth="1"/>
    <col min="6" max="10" width="7.109375" bestFit="1" customWidth="1"/>
    <col min="11" max="11" width="7.109375" customWidth="1"/>
    <col min="12" max="36" width="7.109375" bestFit="1" customWidth="1"/>
  </cols>
  <sheetData>
    <row r="3" spans="2:36" x14ac:dyDescent="0.3">
      <c r="B3" s="2" t="s">
        <v>0</v>
      </c>
      <c r="C3" s="2">
        <v>0.1</v>
      </c>
    </row>
    <row r="4" spans="2:36" x14ac:dyDescent="0.3">
      <c r="B4" s="2" t="s">
        <v>1</v>
      </c>
      <c r="C4" s="4">
        <f>C3/30</f>
        <v>3.3333333333333335E-3</v>
      </c>
    </row>
    <row r="5" spans="2:36" x14ac:dyDescent="0.3">
      <c r="B5" s="2" t="s">
        <v>2</v>
      </c>
      <c r="C5" s="4">
        <f>(C9*C8*C4^2)/(2*C10)</f>
        <v>0.4333333333333334</v>
      </c>
    </row>
    <row r="6" spans="2:36" x14ac:dyDescent="0.3">
      <c r="B6" s="2" t="s">
        <v>3</v>
      </c>
      <c r="C6" s="2">
        <v>60</v>
      </c>
      <c r="D6">
        <v>60.233333333333341</v>
      </c>
    </row>
    <row r="7" spans="2:36" x14ac:dyDescent="0.3">
      <c r="B7" s="6"/>
      <c r="C7" s="6"/>
    </row>
    <row r="8" spans="2:36" x14ac:dyDescent="0.3">
      <c r="B8" s="2" t="s">
        <v>4</v>
      </c>
      <c r="C8" s="2">
        <v>460</v>
      </c>
    </row>
    <row r="9" spans="2:36" x14ac:dyDescent="0.3">
      <c r="B9" s="5" t="s">
        <v>5</v>
      </c>
      <c r="C9" s="5">
        <v>7800</v>
      </c>
    </row>
    <row r="10" spans="2:36" x14ac:dyDescent="0.3">
      <c r="B10" s="2" t="s">
        <v>6</v>
      </c>
      <c r="C10" s="2">
        <v>46</v>
      </c>
    </row>
    <row r="11" spans="2:36" x14ac:dyDescent="0.3">
      <c r="B11" s="6"/>
      <c r="C11" s="6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8</v>
      </c>
      <c r="C12" s="2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3">
      <c r="B13" s="2" t="s">
        <v>9</v>
      </c>
      <c r="C13" s="2">
        <v>100</v>
      </c>
      <c r="E13" t="s">
        <v>7</v>
      </c>
      <c r="F13" s="1">
        <f>C12</f>
        <v>300</v>
      </c>
      <c r="G13" s="1">
        <v>280.34602914679897</v>
      </c>
      <c r="H13" s="1">
        <v>260.69205829359794</v>
      </c>
      <c r="I13" s="1">
        <v>241.69187227593491</v>
      </c>
      <c r="J13" s="1">
        <v>222.69168625827183</v>
      </c>
      <c r="K13" s="1">
        <v>204.95390631913148</v>
      </c>
      <c r="L13" s="1">
        <v>187.21612637999107</v>
      </c>
      <c r="M13" s="1">
        <v>171.26453784334268</v>
      </c>
      <c r="N13" s="1">
        <v>155.31294930669429</v>
      </c>
      <c r="O13" s="1">
        <v>141.55671337374599</v>
      </c>
      <c r="P13" s="1">
        <v>127.80047744079765</v>
      </c>
      <c r="Q13" s="1">
        <v>116.51671674932982</v>
      </c>
      <c r="R13" s="1">
        <v>105.23295605786197</v>
      </c>
      <c r="S13" s="1">
        <v>96.561989352755049</v>
      </c>
      <c r="T13" s="1">
        <v>87.891022647648128</v>
      </c>
      <c r="U13" s="1">
        <v>81.842538774051832</v>
      </c>
      <c r="V13" s="1">
        <v>75.794054900455549</v>
      </c>
      <c r="W13" s="1">
        <v>72.261187114604226</v>
      </c>
      <c r="X13" s="1">
        <v>68.728319328752917</v>
      </c>
      <c r="Y13" s="1">
        <v>67.506108522455037</v>
      </c>
      <c r="Z13" s="1">
        <v>66.283897716157142</v>
      </c>
      <c r="AA13" s="1">
        <v>67.088962026000345</v>
      </c>
      <c r="AB13" s="1">
        <v>67.894026335843549</v>
      </c>
      <c r="AC13" s="1">
        <v>70.383127200086093</v>
      </c>
      <c r="AD13" s="1">
        <v>72.872228064328638</v>
      </c>
      <c r="AE13" s="1">
        <v>76.658491877071754</v>
      </c>
      <c r="AF13" s="1">
        <v>80.444755689814855</v>
      </c>
      <c r="AG13" s="1">
        <v>85.111263870845988</v>
      </c>
      <c r="AH13" s="1">
        <v>89.777772051877108</v>
      </c>
      <c r="AI13" s="1">
        <v>94.888886025938547</v>
      </c>
      <c r="AJ13" s="1">
        <f>C13</f>
        <v>100</v>
      </c>
    </row>
    <row r="15" spans="2:36" x14ac:dyDescent="0.3">
      <c r="E15" t="s">
        <v>10</v>
      </c>
      <c r="G15">
        <f>G13+(($C$10*$C$5)/($C$9*$C$8))*((H13-2*G13+F13)/($C$4^2))</f>
        <v>280.34602914679897</v>
      </c>
      <c r="H15">
        <f t="shared" ref="H15:AI15" si="1">H13+(($C$10*$C$5)/($C$9*$C$8))*((I13-2*H13+G13)/($C$4^2))</f>
        <v>261.01895071136693</v>
      </c>
      <c r="I15">
        <f t="shared" si="1"/>
        <v>241.69187227593488</v>
      </c>
      <c r="J15">
        <f t="shared" si="1"/>
        <v>223.32288929753321</v>
      </c>
      <c r="K15">
        <f t="shared" si="1"/>
        <v>204.95390631913145</v>
      </c>
      <c r="L15">
        <f t="shared" si="1"/>
        <v>188.10922208123708</v>
      </c>
      <c r="M15">
        <f t="shared" si="1"/>
        <v>171.26453784334268</v>
      </c>
      <c r="N15">
        <f t="shared" si="1"/>
        <v>156.41062560854434</v>
      </c>
      <c r="O15">
        <f t="shared" si="1"/>
        <v>141.55671337374596</v>
      </c>
      <c r="P15">
        <f t="shared" si="1"/>
        <v>129.0367150615379</v>
      </c>
      <c r="Q15">
        <f t="shared" si="1"/>
        <v>116.51671674932982</v>
      </c>
      <c r="R15">
        <f t="shared" si="1"/>
        <v>106.53935305104244</v>
      </c>
      <c r="S15">
        <f t="shared" si="1"/>
        <v>96.561989352755049</v>
      </c>
      <c r="T15">
        <f t="shared" si="1"/>
        <v>89.202264063403447</v>
      </c>
      <c r="U15">
        <f t="shared" si="1"/>
        <v>81.842538774051832</v>
      </c>
      <c r="V15">
        <f t="shared" si="1"/>
        <v>77.051862944328036</v>
      </c>
      <c r="W15">
        <f t="shared" si="1"/>
        <v>72.26118711460424</v>
      </c>
      <c r="X15">
        <f t="shared" si="1"/>
        <v>69.883647818529624</v>
      </c>
      <c r="Y15">
        <f t="shared" si="1"/>
        <v>67.506108522455037</v>
      </c>
      <c r="Z15">
        <f t="shared" si="1"/>
        <v>67.297535274227698</v>
      </c>
      <c r="AA15">
        <f t="shared" si="1"/>
        <v>67.088962026000345</v>
      </c>
      <c r="AB15">
        <f t="shared" si="1"/>
        <v>68.736044613043219</v>
      </c>
      <c r="AC15">
        <f t="shared" si="1"/>
        <v>70.383127200086093</v>
      </c>
      <c r="AD15">
        <f t="shared" si="1"/>
        <v>73.520809538578931</v>
      </c>
      <c r="AE15">
        <f t="shared" si="1"/>
        <v>76.658491877071754</v>
      </c>
      <c r="AF15">
        <f t="shared" si="1"/>
        <v>80.884877873958871</v>
      </c>
      <c r="AG15">
        <f t="shared" si="1"/>
        <v>85.111263870845988</v>
      </c>
      <c r="AH15">
        <f t="shared" si="1"/>
        <v>90.000074948392268</v>
      </c>
      <c r="AI15">
        <f t="shared" si="1"/>
        <v>94.888886025938547</v>
      </c>
    </row>
    <row r="29" spans="21:21" ht="15.6" x14ac:dyDescent="0.3">
      <c r="U29" s="7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2021-10-03T20:11:24Z</dcterms:modified>
</cp:coreProperties>
</file>